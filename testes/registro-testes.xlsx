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Participantes" sheetId="2" state="visible" r:id="rId4"/>
    <sheet name="Tarefas" sheetId="3" state="visible" r:id="rId5"/>
    <sheet name="SUS" sheetId="4" state="visible" r:id="rId6"/>
    <sheet name="Achados" sheetId="5" state="visible" r:id="rId7"/>
    <sheet name="Resum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<sst xmlns="http://schemas.openxmlformats.org/spreadsheetml/2006/main" count="178" uniqueCount="149">
  <si>
    <t xml:space="preserve">Registro dos testes com usuários · EbenézerConecta (MVP Semana 10)</t>
  </si>
  <si>
    <t xml:space="preserve">Roteiro completo: docs/testes-com-usuarios.md. Versão testada: https://ebenezer-vert.vercel.app</t>
  </si>
  <si>
    <t xml:space="preserve">Como preencher</t>
  </si>
  <si>
    <t xml:space="preserve">• Preencha apenas as células em amarelo claro. As demais contêm fórmulas ou textos do roteiro.</t>
  </si>
  <si>
    <t xml:space="preserve">• Participantes: identifique cada pessoa só por P1, P2, P3 — sem nome, e-mail ou telefone (LGPD).</t>
  </si>
  <si>
    <t xml:space="preserve">• Tarefas: Resultado = S (sem ajuda), P (com hesitação relevante ou dica) ou N (não concluiu). Tempo em segundos. SEQ de 1 a 7.</t>
  </si>
  <si>
    <t xml:space="preserve">• SUS: notas de 1 (discordo totalmente) a 5 (concordo totalmente) para cada item; a nota final (0–100) é calculada.</t>
  </si>
  <si>
    <t xml:space="preserve">• Achados: um problema por linha; severidade de 0 (não é problema) a 4 (catástrofe de uso), escala de Nielsen.</t>
  </si>
  <si>
    <t xml:space="preserve">• Resumo: consolida tudo automaticamente e compara com as metas definidas antes dos testes.</t>
  </si>
  <si>
    <t xml:space="preserve">Exemplo de preenchimento (fictício, apenas para mostrar o formato)</t>
  </si>
  <si>
    <t xml:space="preserve">Tarefas → P1-T3 | Resultado: P | Tempo (s): 95 | SEQ: 5 | Desvios: "procurou o valor em Doação única antes dos planos" | Falas: "achei que R$ 50 era só uma vez"</t>
  </si>
  <si>
    <t xml:space="preserve">Achados → A01 | "Participante não distinguiu plano mensal de doação única" | /doar | P1 | 1 | Severidade 3 | "Reforçar /mês no botão e separar visualmente as seções" | Corrigir antes da entrega</t>
  </si>
  <si>
    <t xml:space="preserve">ID</t>
  </si>
  <si>
    <t xml:space="preserve">Perfil testado</t>
  </si>
  <si>
    <t xml:space="preserve">Data da sessão</t>
  </si>
  <si>
    <t xml:space="preserve">Formato (presencial/remoto)</t>
  </si>
  <si>
    <t xml:space="preserve">Dispositivo e navegador</t>
  </si>
  <si>
    <t xml:space="preserve">Já doa para alguma causa? (sim/não/eventualmente)</t>
  </si>
  <si>
    <t xml:space="preserve">Consentiu registro de falas</t>
  </si>
  <si>
    <t xml:space="preserve">Consentiu gravação de tela</t>
  </si>
  <si>
    <t xml:space="preserve">Observações do moderador</t>
  </si>
  <si>
    <t xml:space="preserve">P1</t>
  </si>
  <si>
    <t xml:space="preserve">Pessoa que nunca doou e chega por convite</t>
  </si>
  <si>
    <t xml:space="preserve">P2</t>
  </si>
  <si>
    <t xml:space="preserve">Doador recorrente (conta do Eduardo)</t>
  </si>
  <si>
    <t xml:space="preserve">P3</t>
  </si>
  <si>
    <t xml:space="preserve">Embaixadora (conta da Renata)</t>
  </si>
  <si>
    <t xml:space="preserve">Tarefa</t>
  </si>
  <si>
    <t xml:space="preserve">Sessão</t>
  </si>
  <si>
    <t xml:space="preserve">User story</t>
  </si>
  <si>
    <t xml:space="preserve">Tarefa (resumo)</t>
  </si>
  <si>
    <t xml:space="preserve">Critério de sucesso</t>
  </si>
  <si>
    <t xml:space="preserve">Resultado (S/P/N)</t>
  </si>
  <si>
    <t xml:space="preserve">Tempo (s)</t>
  </si>
  <si>
    <t xml:space="preserve">SEQ (1–7)</t>
  </si>
  <si>
    <t xml:space="preserve">Desvios e erros observados</t>
  </si>
  <si>
    <t xml:space="preserve">Falas relevantes</t>
  </si>
  <si>
    <t xml:space="preserve">P1-T1</t>
  </si>
  <si>
    <t xml:space="preserve">US-05</t>
  </si>
  <si>
    <t xml:space="preserve">Descobrir o que o Instituto faz e quantas crianças foram atendidas no último mês (a partir do link de convite)</t>
  </si>
  <si>
    <t xml:space="preserve">Diz o número do indicador e cita um programa</t>
  </si>
  <si>
    <t xml:space="preserve">P1-T2</t>
  </si>
  <si>
    <t xml:space="preserve">Criar conta com e-mail fictício</t>
  </si>
  <si>
    <t xml:space="preserve">Chega à tela de doação com boas-vindas</t>
  </si>
  <si>
    <t xml:space="preserve">P1-T3</t>
  </si>
  <si>
    <t xml:space="preserve">US-01</t>
  </si>
  <si>
    <t xml:space="preserve">Fazer contribuição mensal de R$ 50</t>
  </si>
  <si>
    <t xml:space="preserve">Vê "Doação confirmada" com R$ 50,00/mês</t>
  </si>
  <si>
    <t xml:space="preserve">P1-T4</t>
  </si>
  <si>
    <t xml:space="preserve">US-02</t>
  </si>
  <si>
    <t xml:space="preserve">Mostrar onde pausaria a contribuição (sem pausar)</t>
  </si>
  <si>
    <t xml:space="preserve">Chega à área de pausa em Gerenciar Recorrência</t>
  </si>
  <si>
    <t xml:space="preserve">P2-T1</t>
  </si>
  <si>
    <t xml:space="preserve">Aumentar a contribuição para R$ 150/mês</t>
  </si>
  <si>
    <t xml:space="preserve">Histórico mostra R$ 120,00 → R$ 150,00</t>
  </si>
  <si>
    <t xml:space="preserve">P2-T2</t>
  </si>
  <si>
    <t xml:space="preserve">US-03</t>
  </si>
  <si>
    <t xml:space="preserve">Descobrir o que aconteceu no Reforço Escolar nos últimos dias</t>
  </si>
  <si>
    <t xml:space="preserve">Filtra/encontra publicação e resume uma atividade</t>
  </si>
  <si>
    <t xml:space="preserve">P2-T3</t>
  </si>
  <si>
    <t xml:space="preserve">US-04</t>
  </si>
  <si>
    <t xml:space="preserve">Dizer quanto falta para o próximo reconhecimento</t>
  </si>
  <si>
    <t xml:space="preserve">Diz "10 meses" (Guardião da Educação)</t>
  </si>
  <si>
    <t xml:space="preserve">P2-T4</t>
  </si>
  <si>
    <t xml:space="preserve">Abrir o certificado mais recente e explicar como terceiros confirmam</t>
  </si>
  <si>
    <t xml:space="preserve">Abre EC-2026-000148 e aponta a verificação pública</t>
  </si>
  <si>
    <t xml:space="preserve">P3-T1</t>
  </si>
  <si>
    <t xml:space="preserve">Dizer quantas pessoas doaram pelo convite e qual rede trouxe mais</t>
  </si>
  <si>
    <t xml:space="preserve">Diz 13 e WhatsApp</t>
  </si>
  <si>
    <t xml:space="preserve">P3-T2</t>
  </si>
  <si>
    <t xml:space="preserve">Pegar mensagem pronta para WhatsApp com o link</t>
  </si>
  <si>
    <t xml:space="preserve">Copia o texto pronto ou o link</t>
  </si>
  <si>
    <t xml:space="preserve">P3-T3</t>
  </si>
  <si>
    <t xml:space="preserve">Preparar convite no LinkedIn (sem publicar)</t>
  </si>
  <si>
    <t xml:space="preserve">Escolhe Convite e abre o LinkedIn pela plataforma</t>
  </si>
  <si>
    <t xml:space="preserve">P3-T4</t>
  </si>
  <si>
    <t xml:space="preserve">Dizer o próximo reconhecimento de embaixadora e quanto falta</t>
  </si>
  <si>
    <t xml:space="preserve">Diz "Mobilizador, faltam 12"</t>
  </si>
  <si>
    <t xml:space="preserve">#</t>
  </si>
  <si>
    <t xml:space="preserve">Afirmação (System Usability Scale)</t>
  </si>
  <si>
    <t xml:space="preserve">Eu acho que gostaria de usar este sistema com frequência.</t>
  </si>
  <si>
    <t xml:space="preserve">Eu achei o sistema desnecessariamente complexo.</t>
  </si>
  <si>
    <t xml:space="preserve">Eu achei o sistema fácil de usar.</t>
  </si>
  <si>
    <t xml:space="preserve">Eu acho que precisaria do apoio de um técnico para conseguir usar este sistema.</t>
  </si>
  <si>
    <t xml:space="preserve">Eu achei que as várias funções do sistema estão bem integradas.</t>
  </si>
  <si>
    <t xml:space="preserve">Eu achei que o sistema apresenta muita inconsistência.</t>
  </si>
  <si>
    <t xml:space="preserve">Eu imagino que a maioria das pessoas aprenderia a usar este sistema rapidamente.</t>
  </si>
  <si>
    <t xml:space="preserve">Eu achei o sistema muito complicado de usar.</t>
  </si>
  <si>
    <t xml:space="preserve">Eu me senti muito confiante usando o sistema.</t>
  </si>
  <si>
    <t xml:space="preserve">Eu precisei aprender várias coisas antes de conseguir usar este sistema.</t>
  </si>
  <si>
    <t xml:space="preserve">Nota SUS (0–100) — itens ímpares: nota − 1; itens pares: 5 − nota; soma × 2,5</t>
  </si>
  <si>
    <t xml:space="preserve">Média SUS dos participantes com questionário completo</t>
  </si>
  <si>
    <t xml:space="preserve">Problema observado</t>
  </si>
  <si>
    <t xml:space="preserve">Tela / rota</t>
  </si>
  <si>
    <t xml:space="preserve">Participantes (ex.: P1, P3)</t>
  </si>
  <si>
    <t xml:space="preserve">Nº de participantes</t>
  </si>
  <si>
    <t xml:space="preserve">Severidade (0–4)</t>
  </si>
  <si>
    <t xml:space="preserve">Recomendação</t>
  </si>
  <si>
    <t xml:space="preserve">Decisão</t>
  </si>
  <si>
    <t xml:space="preserve">Justificativa da decisão</t>
  </si>
  <si>
    <t xml:space="preserve">A01</t>
  </si>
  <si>
    <t xml:space="preserve">A02</t>
  </si>
  <si>
    <t xml:space="preserve">A03</t>
  </si>
  <si>
    <t xml:space="preserve">A04</t>
  </si>
  <si>
    <t xml:space="preserve">A05</t>
  </si>
  <si>
    <t xml:space="preserve">A06</t>
  </si>
  <si>
    <t xml:space="preserve">A07</t>
  </si>
  <si>
    <t xml:space="preserve">A08</t>
  </si>
  <si>
    <t xml:space="preserve">A09</t>
  </si>
  <si>
    <t xml:space="preserve">A10</t>
  </si>
  <si>
    <t xml:space="preserve">A11</t>
  </si>
  <si>
    <t xml:space="preserve">A12</t>
  </si>
  <si>
    <t xml:space="preserve">A13</t>
  </si>
  <si>
    <t xml:space="preserve">A14</t>
  </si>
  <si>
    <t xml:space="preserve">A15</t>
  </si>
  <si>
    <t xml:space="preserve">A16</t>
  </si>
  <si>
    <t xml:space="preserve">A17</t>
  </si>
  <si>
    <t xml:space="preserve">A18</t>
  </si>
  <si>
    <t xml:space="preserve">A19</t>
  </si>
  <si>
    <t xml:space="preserve">A20</t>
  </si>
  <si>
    <t xml:space="preserve">Escala de severidade (Nielsen): 0 não é problema · 1 cosmético · 2 menor · 3 maior (prioridade alta) · 4 catástrofe (corrigir antes de lançar)</t>
  </si>
  <si>
    <t xml:space="preserve">Resumo dos testes (calculado)</t>
  </si>
  <si>
    <t xml:space="preserve">Métrica</t>
  </si>
  <si>
    <t xml:space="preserve">Resultado</t>
  </si>
  <si>
    <t xml:space="preserve">Meta</t>
  </si>
  <si>
    <t xml:space="preserve">Situação</t>
  </si>
  <si>
    <t xml:space="preserve">Observação</t>
  </si>
  <si>
    <t xml:space="preserve">Tarefas registradas</t>
  </si>
  <si>
    <t xml:space="preserve">—</t>
  </si>
  <si>
    <t xml:space="preserve">De 12 tarefas previstas</t>
  </si>
  <si>
    <t xml:space="preserve">Taxa de sucesso sem ajuda (S)</t>
  </si>
  <si>
    <t xml:space="preserve">Sobre as tarefas registradas</t>
  </si>
  <si>
    <t xml:space="preserve">Taxa de conclusão (S + P)</t>
  </si>
  <si>
    <t xml:space="preserve">Inclui conclusões com hesitação ou dica</t>
  </si>
  <si>
    <t xml:space="preserve">SEQ médio (1–7)</t>
  </si>
  <si>
    <t xml:space="preserve">Single Ease Question após cada tarefa</t>
  </si>
  <si>
    <t xml:space="preserve">Tempo médio por tarefa (s)</t>
  </si>
  <si>
    <t xml:space="preserve">Referência para comparar versões futuras</t>
  </si>
  <si>
    <t xml:space="preserve">SUS médio (0–100)</t>
  </si>
  <si>
    <t xml:space="preserve">Média de referência da escala SUS: 68</t>
  </si>
  <si>
    <t xml:space="preserve">Achados de severidade 3 ou 4</t>
  </si>
  <si>
    <t xml:space="preserve">Cada um precisa de decisão registrada</t>
  </si>
  <si>
    <t xml:space="preserve">Achados sev. ≥ 3 sem decisão</t>
  </si>
  <si>
    <t xml:space="preserve">Meta: nenhum sem plano</t>
  </si>
  <si>
    <t xml:space="preserve">Por sessão</t>
  </si>
  <si>
    <t xml:space="preserve">Sucesso (S)</t>
  </si>
  <si>
    <t xml:space="preserve">SEQ médio</t>
  </si>
  <si>
    <t xml:space="preserve">SUS</t>
  </si>
  <si>
    <t xml:space="preserve">Com três participantes os números são indicativos, não estatísticos; o valor principal está nos problemas observados (aba Achados).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</si>
</sst>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0.0"/>
    <numFmt numFmtId="167" formatCode="0"/>
    <numFmt numFmtId="168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55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6255"/>
        <bgColor rgb="FF008080"/>
      </patternFill>
    </fill>
    <fill>
      <patternFill patternType="solid">
        <fgColor rgb="FFFFF2CC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CF"/>
      </left>
      <right style="thin">
        <color rgb="FFC9D2CF"/>
      </right>
      <top style="thin">
        <color rgb="FFC9D2CF"/>
      </top>
      <bottom style="thin">
        <color rgb="FFC9D2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55"/>
      <rgbColor rgb="FFC9D2C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26.8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9</v>
      </c>
    </row>
    <row r="13" customFormat="false" ht="26.85" hidden="false" customHeight="false" outlineLevel="0" collapsed="false">
      <c r="A13" s="2" t="s">
        <v>10</v>
      </c>
    </row>
    <row r="14" customFormat="false" ht="26.85" hidden="false" customHeight="false" outlineLevel="0" collapsed="false">
      <c r="A14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22"/>
    <col collapsed="false" customWidth="true" hidden="false" outlineLevel="0" max="8" min="7" style="0" width="14"/>
    <col collapsed="false" customWidth="true" hidden="false" outlineLevel="0" max="9" min="9" style="0" width="40"/>
  </cols>
  <sheetData>
    <row r="1" customFormat="false" ht="31.5" hidden="false" customHeight="true" outlineLevel="0" collapsed="false">
      <c r="A1" s="4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</row>
    <row r="2" customFormat="false" ht="26.85" hidden="false" customHeight="false" outlineLevel="0" collapsed="false">
      <c r="A2" s="5" t="s">
        <v>21</v>
      </c>
      <c r="B2" s="6" t="s">
        <v>22</v>
      </c>
      <c r="C2" s="7"/>
      <c r="D2" s="8"/>
      <c r="E2" s="8"/>
      <c r="F2" s="8"/>
      <c r="G2" s="8"/>
      <c r="H2" s="8"/>
      <c r="I2" s="8"/>
    </row>
    <row r="3" customFormat="false" ht="26.85" hidden="false" customHeight="false" outlineLevel="0" collapsed="false">
      <c r="A3" s="5" t="s">
        <v>23</v>
      </c>
      <c r="B3" s="6" t="s">
        <v>24</v>
      </c>
      <c r="C3" s="7"/>
      <c r="D3" s="8"/>
      <c r="E3" s="8"/>
      <c r="F3" s="8"/>
      <c r="G3" s="8"/>
      <c r="H3" s="8"/>
      <c r="I3" s="8"/>
    </row>
    <row r="4" customFormat="false" ht="15" hidden="false" customHeight="false" outlineLevel="0" collapsed="false">
      <c r="A4" s="5" t="s">
        <v>25</v>
      </c>
      <c r="B4" s="6" t="s">
        <v>26</v>
      </c>
      <c r="C4" s="7"/>
      <c r="D4" s="8"/>
      <c r="E4" s="8"/>
      <c r="F4" s="8"/>
      <c r="G4" s="8"/>
      <c r="H4" s="8"/>
      <c r="I4" s="8"/>
    </row>
  </sheetData>
  <dataValidations count="2">
    <dataValidation allowBlank="true" errorStyle="stop" operator="between" showDropDown="false" showErrorMessage="false" showInputMessage="false" sqref="G2:H4" type="list">
      <formula1>"Sim,Não"</formula1>
      <formula2>0</formula2>
    </dataValidation>
    <dataValidation allowBlank="true" errorStyle="stop" operator="between" showDropDown="false" showErrorMessage="false" showInputMessage="false" sqref="D2:D4" type="list">
      <formula1>"Presencial,Remoto"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38"/>
    <col collapsed="false" customWidth="true" hidden="false" outlineLevel="0" max="5" min="5" style="0" width="42"/>
    <col collapsed="false" customWidth="true" hidden="false" outlineLevel="0" max="6" min="6" style="0" width="11"/>
    <col collapsed="false" customWidth="true" hidden="false" outlineLevel="0" max="8" min="7" style="0" width="9"/>
    <col collapsed="false" customWidth="true" hidden="false" outlineLevel="0" max="10" min="9" style="0" width="36"/>
  </cols>
  <sheetData>
    <row r="1" customFormat="false" ht="31.5" hidden="false" customHeight="true" outlineLevel="0" collapsed="false">
      <c r="A1" s="4" t="s">
        <v>27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4" t="s">
        <v>36</v>
      </c>
    </row>
    <row r="2" customFormat="false" ht="43.5" hidden="false" customHeight="true" outlineLevel="0" collapsed="false">
      <c r="A2" s="5" t="s">
        <v>37</v>
      </c>
      <c r="B2" s="6" t="s">
        <v>21</v>
      </c>
      <c r="C2" s="6" t="s">
        <v>38</v>
      </c>
      <c r="D2" s="6" t="s">
        <v>39</v>
      </c>
      <c r="E2" s="6" t="s">
        <v>40</v>
      </c>
      <c r="F2" s="8"/>
      <c r="G2" s="8"/>
      <c r="H2" s="8"/>
      <c r="I2" s="8"/>
      <c r="J2" s="8"/>
    </row>
    <row r="3" customFormat="false" ht="43.5" hidden="false" customHeight="true" outlineLevel="0" collapsed="false">
      <c r="A3" s="5" t="s">
        <v>41</v>
      </c>
      <c r="B3" s="6" t="s">
        <v>21</v>
      </c>
      <c r="C3" s="6" t="s">
        <v>38</v>
      </c>
      <c r="D3" s="6" t="s">
        <v>42</v>
      </c>
      <c r="E3" s="6" t="s">
        <v>43</v>
      </c>
      <c r="F3" s="8"/>
      <c r="G3" s="8"/>
      <c r="H3" s="8"/>
      <c r="I3" s="8"/>
      <c r="J3" s="8"/>
    </row>
    <row r="4" customFormat="false" ht="43.5" hidden="false" customHeight="true" outlineLevel="0" collapsed="false">
      <c r="A4" s="5" t="s">
        <v>44</v>
      </c>
      <c r="B4" s="6" t="s">
        <v>21</v>
      </c>
      <c r="C4" s="6" t="s">
        <v>45</v>
      </c>
      <c r="D4" s="6" t="s">
        <v>46</v>
      </c>
      <c r="E4" s="6" t="s">
        <v>47</v>
      </c>
      <c r="F4" s="8"/>
      <c r="G4" s="8"/>
      <c r="H4" s="8"/>
      <c r="I4" s="8"/>
      <c r="J4" s="8"/>
    </row>
    <row r="5" customFormat="false" ht="43.5" hidden="false" customHeight="true" outlineLevel="0" collapsed="false">
      <c r="A5" s="5" t="s">
        <v>48</v>
      </c>
      <c r="B5" s="6" t="s">
        <v>21</v>
      </c>
      <c r="C5" s="6" t="s">
        <v>49</v>
      </c>
      <c r="D5" s="6" t="s">
        <v>50</v>
      </c>
      <c r="E5" s="6" t="s">
        <v>51</v>
      </c>
      <c r="F5" s="8"/>
      <c r="G5" s="8"/>
      <c r="H5" s="8"/>
      <c r="I5" s="8"/>
      <c r="J5" s="8"/>
    </row>
    <row r="6" customFormat="false" ht="43.5" hidden="false" customHeight="true" outlineLevel="0" collapsed="false">
      <c r="A6" s="5" t="s">
        <v>52</v>
      </c>
      <c r="B6" s="6" t="s">
        <v>23</v>
      </c>
      <c r="C6" s="6" t="s">
        <v>49</v>
      </c>
      <c r="D6" s="6" t="s">
        <v>53</v>
      </c>
      <c r="E6" s="6" t="s">
        <v>54</v>
      </c>
      <c r="F6" s="8"/>
      <c r="G6" s="8"/>
      <c r="H6" s="8"/>
      <c r="I6" s="8"/>
      <c r="J6" s="8"/>
    </row>
    <row r="7" customFormat="false" ht="43.5" hidden="false" customHeight="true" outlineLevel="0" collapsed="false">
      <c r="A7" s="5" t="s">
        <v>55</v>
      </c>
      <c r="B7" s="6" t="s">
        <v>23</v>
      </c>
      <c r="C7" s="6" t="s">
        <v>56</v>
      </c>
      <c r="D7" s="6" t="s">
        <v>57</v>
      </c>
      <c r="E7" s="6" t="s">
        <v>58</v>
      </c>
      <c r="F7" s="8"/>
      <c r="G7" s="8"/>
      <c r="H7" s="8"/>
      <c r="I7" s="8"/>
      <c r="J7" s="8"/>
    </row>
    <row r="8" customFormat="false" ht="43.5" hidden="false" customHeight="true" outlineLevel="0" collapsed="false">
      <c r="A8" s="5" t="s">
        <v>59</v>
      </c>
      <c r="B8" s="6" t="s">
        <v>23</v>
      </c>
      <c r="C8" s="6" t="s">
        <v>60</v>
      </c>
      <c r="D8" s="6" t="s">
        <v>61</v>
      </c>
      <c r="E8" s="6" t="s">
        <v>62</v>
      </c>
      <c r="F8" s="8"/>
      <c r="G8" s="8"/>
      <c r="H8" s="8"/>
      <c r="I8" s="8"/>
      <c r="J8" s="8"/>
    </row>
    <row r="9" customFormat="false" ht="43.5" hidden="false" customHeight="true" outlineLevel="0" collapsed="false">
      <c r="A9" s="5" t="s">
        <v>63</v>
      </c>
      <c r="B9" s="6" t="s">
        <v>23</v>
      </c>
      <c r="C9" s="6" t="s">
        <v>60</v>
      </c>
      <c r="D9" s="6" t="s">
        <v>64</v>
      </c>
      <c r="E9" s="6" t="s">
        <v>65</v>
      </c>
      <c r="F9" s="8"/>
      <c r="G9" s="8"/>
      <c r="H9" s="8"/>
      <c r="I9" s="8"/>
      <c r="J9" s="8"/>
    </row>
    <row r="10" customFormat="false" ht="43.5" hidden="false" customHeight="true" outlineLevel="0" collapsed="false">
      <c r="A10" s="5" t="s">
        <v>66</v>
      </c>
      <c r="B10" s="6" t="s">
        <v>25</v>
      </c>
      <c r="C10" s="6" t="s">
        <v>38</v>
      </c>
      <c r="D10" s="6" t="s">
        <v>67</v>
      </c>
      <c r="E10" s="6" t="s">
        <v>68</v>
      </c>
      <c r="F10" s="8"/>
      <c r="G10" s="8"/>
      <c r="H10" s="8"/>
      <c r="I10" s="8"/>
      <c r="J10" s="8"/>
    </row>
    <row r="11" customFormat="false" ht="43.5" hidden="false" customHeight="true" outlineLevel="0" collapsed="false">
      <c r="A11" s="5" t="s">
        <v>69</v>
      </c>
      <c r="B11" s="6" t="s">
        <v>25</v>
      </c>
      <c r="C11" s="6" t="s">
        <v>38</v>
      </c>
      <c r="D11" s="6" t="s">
        <v>70</v>
      </c>
      <c r="E11" s="6" t="s">
        <v>71</v>
      </c>
      <c r="F11" s="8"/>
      <c r="G11" s="8"/>
      <c r="H11" s="8"/>
      <c r="I11" s="8"/>
      <c r="J11" s="8"/>
    </row>
    <row r="12" customFormat="false" ht="43.5" hidden="false" customHeight="true" outlineLevel="0" collapsed="false">
      <c r="A12" s="5" t="s">
        <v>72</v>
      </c>
      <c r="B12" s="6" t="s">
        <v>25</v>
      </c>
      <c r="C12" s="6" t="s">
        <v>38</v>
      </c>
      <c r="D12" s="6" t="s">
        <v>73</v>
      </c>
      <c r="E12" s="6" t="s">
        <v>74</v>
      </c>
      <c r="F12" s="8"/>
      <c r="G12" s="8"/>
      <c r="H12" s="8"/>
      <c r="I12" s="8"/>
      <c r="J12" s="8"/>
    </row>
    <row r="13" customFormat="false" ht="43.5" hidden="false" customHeight="true" outlineLevel="0" collapsed="false">
      <c r="A13" s="5" t="s">
        <v>75</v>
      </c>
      <c r="B13" s="6" t="s">
        <v>25</v>
      </c>
      <c r="C13" s="6" t="s">
        <v>38</v>
      </c>
      <c r="D13" s="6" t="s">
        <v>76</v>
      </c>
      <c r="E13" s="6" t="s">
        <v>77</v>
      </c>
      <c r="F13" s="8"/>
      <c r="G13" s="8"/>
      <c r="H13" s="8"/>
      <c r="I13" s="8"/>
      <c r="J13" s="8"/>
    </row>
  </sheetData>
  <conditionalFormatting sqref="F2:F13">
    <cfRule type="cellIs" priority="2" operator="equal" aboveAverage="0" equalAverage="0" bottom="0" percent="0" rank="0" text="" dxfId="0">
      <formula>"S"</formula>
    </cfRule>
    <cfRule type="cellIs" priority="3" operator="equal" aboveAverage="0" equalAverage="0" bottom="0" percent="0" rank="0" text="" dxfId="1">
      <formula>"P"</formula>
    </cfRule>
    <cfRule type="cellIs" priority="4" operator="equal" aboveAverage="0" equalAverage="0" bottom="0" percent="0" rank="0" text="" dxfId="2">
      <formula>"N"</formula>
    </cfRule>
  </conditionalFormatting>
  <dataValidations count="3">
    <dataValidation allowBlank="true" error="Use S, P ou N" errorStyle="stop" operator="between" showDropDown="false" showErrorMessage="true" showInputMessage="false" sqref="F2:F13" type="list">
      <formula1>"S,P,N"</formula1>
      <formula2>0</formula2>
    </dataValidation>
    <dataValidation allowBlank="true" error="SEQ vai de 1 a 7" errorStyle="stop" operator="between" showDropDown="false" showErrorMessage="true" showInputMessage="false" sqref="H2:H13" type="whole">
      <formula1>1</formula1>
      <formula2>7</formula2>
    </dataValidation>
    <dataValidation allowBlank="true" errorStyle="stop" operator="between" showDropDown="false" showErrorMessage="false" showInputMessage="false" sqref="G2:G13" type="whole">
      <formula1>0</formula1>
      <formula2>3600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0"/>
    <col collapsed="false" customWidth="true" hidden="false" outlineLevel="0" max="5" min="3" style="0" width="9"/>
  </cols>
  <sheetData>
    <row r="1" customFormat="false" ht="31.5" hidden="false" customHeight="true" outlineLevel="0" collapsed="false">
      <c r="A1" s="4" t="s">
        <v>78</v>
      </c>
      <c r="B1" s="4" t="s">
        <v>79</v>
      </c>
      <c r="C1" s="4" t="s">
        <v>21</v>
      </c>
      <c r="D1" s="4" t="s">
        <v>23</v>
      </c>
      <c r="E1" s="4" t="s">
        <v>25</v>
      </c>
    </row>
    <row r="2" customFormat="false" ht="15" hidden="false" customHeight="false" outlineLevel="0" collapsed="false">
      <c r="A2" s="5" t="n">
        <v>1</v>
      </c>
      <c r="B2" s="6" t="s">
        <v>80</v>
      </c>
      <c r="C2" s="8"/>
      <c r="D2" s="8"/>
      <c r="E2" s="8"/>
    </row>
    <row r="3" customFormat="false" ht="15" hidden="false" customHeight="false" outlineLevel="0" collapsed="false">
      <c r="A3" s="5" t="n">
        <v>2</v>
      </c>
      <c r="B3" s="6" t="s">
        <v>81</v>
      </c>
      <c r="C3" s="8"/>
      <c r="D3" s="8"/>
      <c r="E3" s="8"/>
    </row>
    <row r="4" customFormat="false" ht="15" hidden="false" customHeight="false" outlineLevel="0" collapsed="false">
      <c r="A4" s="5" t="n">
        <v>3</v>
      </c>
      <c r="B4" s="6" t="s">
        <v>82</v>
      </c>
      <c r="C4" s="8"/>
      <c r="D4" s="8"/>
      <c r="E4" s="8"/>
    </row>
    <row r="5" customFormat="false" ht="26.85" hidden="false" customHeight="false" outlineLevel="0" collapsed="false">
      <c r="A5" s="5" t="n">
        <v>4</v>
      </c>
      <c r="B5" s="6" t="s">
        <v>83</v>
      </c>
      <c r="C5" s="8"/>
      <c r="D5" s="8"/>
      <c r="E5" s="8"/>
    </row>
    <row r="6" customFormat="false" ht="15" hidden="false" customHeight="false" outlineLevel="0" collapsed="false">
      <c r="A6" s="5" t="n">
        <v>5</v>
      </c>
      <c r="B6" s="6" t="s">
        <v>84</v>
      </c>
      <c r="C6" s="8"/>
      <c r="D6" s="8"/>
      <c r="E6" s="8"/>
    </row>
    <row r="7" customFormat="false" ht="15" hidden="false" customHeight="false" outlineLevel="0" collapsed="false">
      <c r="A7" s="5" t="n">
        <v>6</v>
      </c>
      <c r="B7" s="6" t="s">
        <v>85</v>
      </c>
      <c r="C7" s="8"/>
      <c r="D7" s="8"/>
      <c r="E7" s="8"/>
    </row>
    <row r="8" customFormat="false" ht="26.85" hidden="false" customHeight="false" outlineLevel="0" collapsed="false">
      <c r="A8" s="5" t="n">
        <v>7</v>
      </c>
      <c r="B8" s="6" t="s">
        <v>86</v>
      </c>
      <c r="C8" s="8"/>
      <c r="D8" s="8"/>
      <c r="E8" s="8"/>
    </row>
    <row r="9" customFormat="false" ht="15" hidden="false" customHeight="false" outlineLevel="0" collapsed="false">
      <c r="A9" s="5" t="n">
        <v>8</v>
      </c>
      <c r="B9" s="6" t="s">
        <v>87</v>
      </c>
      <c r="C9" s="8"/>
      <c r="D9" s="8"/>
      <c r="E9" s="8"/>
    </row>
    <row r="10" customFormat="false" ht="15" hidden="false" customHeight="false" outlineLevel="0" collapsed="false">
      <c r="A10" s="5" t="n">
        <v>9</v>
      </c>
      <c r="B10" s="6" t="s">
        <v>88</v>
      </c>
      <c r="C10" s="8"/>
      <c r="D10" s="8"/>
      <c r="E10" s="8"/>
    </row>
    <row r="11" customFormat="false" ht="15" hidden="false" customHeight="false" outlineLevel="0" collapsed="false">
      <c r="A11" s="5" t="n">
        <v>10</v>
      </c>
      <c r="B11" s="6" t="s">
        <v>89</v>
      </c>
      <c r="C11" s="8"/>
      <c r="D11" s="8"/>
      <c r="E11" s="8"/>
    </row>
    <row r="12" customFormat="false" ht="26.85" hidden="false" customHeight="false" outlineLevel="0" collapsed="false">
      <c r="B12" s="5" t="s">
        <v>90</v>
      </c>
      <c r="C12" s="9" t="str">
        <f aca="false">IF(COUNT(C2:C11)&lt;10,"",((C2-1)+(5-C3)+(C4-1)+(5-C5)+(C6-1)+(5-C7)+(C8-1)+(5-C9)+(C10-1)+(5-C11))*2.5)</f>
        <v/>
      </c>
      <c r="D12" s="9" t="str">
        <f aca="false">IF(COUNT(D2:D11)&lt;10,"",((D2-1)+(5-D3)+(D4-1)+(5-D5)+(D6-1)+(5-D7)+(D8-1)+(5-D9)+(D10-1)+(5-D11))*2.5)</f>
        <v/>
      </c>
      <c r="E12" s="9" t="str">
        <f aca="false">IF(COUNT(E2:E11)&lt;10,"",((E2-1)+(5-E3)+(E4-1)+(5-E5)+(E6-1)+(5-E7)+(E8-1)+(5-E9)+(E10-1)+(5-E11))*2.5)</f>
        <v/>
      </c>
    </row>
    <row r="13" customFormat="false" ht="15" hidden="false" customHeight="false" outlineLevel="0" collapsed="false">
      <c r="B13" s="5" t="s">
        <v>91</v>
      </c>
      <c r="C13" s="9" t="str">
        <f aca="false">IF(COUNT(C12:E12)=0,"",AVERAGE(C12:E12))</f>
        <v/>
      </c>
    </row>
  </sheetData>
  <dataValidations count="1">
    <dataValidation allowBlank="true" error="Use notas de 1 a 5" errorStyle="stop" operator="between" showDropDown="false" showErrorMessage="true" showInputMessage="false" sqref="C2:E11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4" min="3" style="0" width="16"/>
    <col collapsed="false" customWidth="true" hidden="false" outlineLevel="0" max="6" min="5" style="0" width="12"/>
    <col collapsed="false" customWidth="true" hidden="false" outlineLevel="0" max="7" min="7" style="0" width="38"/>
    <col collapsed="false" customWidth="true" hidden="false" outlineLevel="0" max="8" min="8" style="0" width="20"/>
    <col collapsed="false" customWidth="true" hidden="false" outlineLevel="0" max="9" min="9" style="0" width="32"/>
  </cols>
  <sheetData>
    <row r="1" customFormat="false" ht="31.5" hidden="false" customHeight="true" outlineLevel="0" collapsed="false">
      <c r="A1" s="4" t="s">
        <v>12</v>
      </c>
      <c r="B1" s="4" t="s">
        <v>92</v>
      </c>
      <c r="C1" s="4" t="s">
        <v>93</v>
      </c>
      <c r="D1" s="4" t="s">
        <v>94</v>
      </c>
      <c r="E1" s="4" t="s">
        <v>95</v>
      </c>
      <c r="F1" s="4" t="s">
        <v>96</v>
      </c>
      <c r="G1" s="4" t="s">
        <v>97</v>
      </c>
      <c r="H1" s="4" t="s">
        <v>98</v>
      </c>
      <c r="I1" s="4" t="s">
        <v>99</v>
      </c>
    </row>
    <row r="2" customFormat="false" ht="15" hidden="false" customHeight="false" outlineLevel="0" collapsed="false">
      <c r="A2" s="5" t="s">
        <v>100</v>
      </c>
      <c r="B2" s="8"/>
      <c r="C2" s="8"/>
      <c r="D2" s="8"/>
      <c r="E2" s="8"/>
      <c r="F2" s="8"/>
      <c r="G2" s="8"/>
      <c r="H2" s="8"/>
      <c r="I2" s="8"/>
    </row>
    <row r="3" customFormat="false" ht="15" hidden="false" customHeight="false" outlineLevel="0" collapsed="false">
      <c r="A3" s="5" t="s">
        <v>101</v>
      </c>
      <c r="B3" s="8"/>
      <c r="C3" s="8"/>
      <c r="D3" s="8"/>
      <c r="E3" s="8"/>
      <c r="F3" s="8"/>
      <c r="G3" s="8"/>
      <c r="H3" s="8"/>
      <c r="I3" s="8"/>
    </row>
    <row r="4" customFormat="false" ht="15" hidden="false" customHeight="false" outlineLevel="0" collapsed="false">
      <c r="A4" s="5" t="s">
        <v>102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false" outlineLevel="0" collapsed="false">
      <c r="A5" s="5" t="s">
        <v>103</v>
      </c>
      <c r="B5" s="8"/>
      <c r="C5" s="8"/>
      <c r="D5" s="8"/>
      <c r="E5" s="8"/>
      <c r="F5" s="8"/>
      <c r="G5" s="8"/>
      <c r="H5" s="8"/>
      <c r="I5" s="8"/>
    </row>
    <row r="6" customFormat="false" ht="15" hidden="false" customHeight="false" outlineLevel="0" collapsed="false">
      <c r="A6" s="5" t="s">
        <v>104</v>
      </c>
      <c r="B6" s="8"/>
      <c r="C6" s="8"/>
      <c r="D6" s="8"/>
      <c r="E6" s="8"/>
      <c r="F6" s="8"/>
      <c r="G6" s="8"/>
      <c r="H6" s="8"/>
      <c r="I6" s="8"/>
    </row>
    <row r="7" customFormat="false" ht="15" hidden="false" customHeight="false" outlineLevel="0" collapsed="false">
      <c r="A7" s="5" t="s">
        <v>105</v>
      </c>
      <c r="B7" s="8"/>
      <c r="C7" s="8"/>
      <c r="D7" s="8"/>
      <c r="E7" s="8"/>
      <c r="F7" s="8"/>
      <c r="G7" s="8"/>
      <c r="H7" s="8"/>
      <c r="I7" s="8"/>
    </row>
    <row r="8" customFormat="false" ht="15" hidden="false" customHeight="false" outlineLevel="0" collapsed="false">
      <c r="A8" s="5" t="s">
        <v>106</v>
      </c>
      <c r="B8" s="8"/>
      <c r="C8" s="8"/>
      <c r="D8" s="8"/>
      <c r="E8" s="8"/>
      <c r="F8" s="8"/>
      <c r="G8" s="8"/>
      <c r="H8" s="8"/>
      <c r="I8" s="8"/>
    </row>
    <row r="9" customFormat="false" ht="15" hidden="false" customHeight="false" outlineLevel="0" collapsed="false">
      <c r="A9" s="5" t="s">
        <v>107</v>
      </c>
      <c r="B9" s="8"/>
      <c r="C9" s="8"/>
      <c r="D9" s="8"/>
      <c r="E9" s="8"/>
      <c r="F9" s="8"/>
      <c r="G9" s="8"/>
      <c r="H9" s="8"/>
      <c r="I9" s="8"/>
    </row>
    <row r="10" customFormat="false" ht="15" hidden="false" customHeight="false" outlineLevel="0" collapsed="false">
      <c r="A10" s="5" t="s">
        <v>108</v>
      </c>
      <c r="B10" s="8"/>
      <c r="C10" s="8"/>
      <c r="D10" s="8"/>
      <c r="E10" s="8"/>
      <c r="F10" s="8"/>
      <c r="G10" s="8"/>
      <c r="H10" s="8"/>
      <c r="I10" s="8"/>
    </row>
    <row r="11" customFormat="false" ht="15" hidden="false" customHeight="false" outlineLevel="0" collapsed="false">
      <c r="A11" s="5" t="s">
        <v>109</v>
      </c>
      <c r="B11" s="8"/>
      <c r="C11" s="8"/>
      <c r="D11" s="8"/>
      <c r="E11" s="8"/>
      <c r="F11" s="8"/>
      <c r="G11" s="8"/>
      <c r="H11" s="8"/>
      <c r="I11" s="8"/>
    </row>
    <row r="12" customFormat="false" ht="15" hidden="false" customHeight="false" outlineLevel="0" collapsed="false">
      <c r="A12" s="5" t="s">
        <v>110</v>
      </c>
      <c r="B12" s="8"/>
      <c r="C12" s="8"/>
      <c r="D12" s="8"/>
      <c r="E12" s="8"/>
      <c r="F12" s="8"/>
      <c r="G12" s="8"/>
      <c r="H12" s="8"/>
      <c r="I12" s="8"/>
    </row>
    <row r="13" customFormat="false" ht="15" hidden="false" customHeight="false" outlineLevel="0" collapsed="false">
      <c r="A13" s="5" t="s">
        <v>111</v>
      </c>
      <c r="B13" s="8"/>
      <c r="C13" s="8"/>
      <c r="D13" s="8"/>
      <c r="E13" s="8"/>
      <c r="F13" s="8"/>
      <c r="G13" s="8"/>
      <c r="H13" s="8"/>
      <c r="I13" s="8"/>
    </row>
    <row r="14" customFormat="false" ht="15" hidden="false" customHeight="false" outlineLevel="0" collapsed="false">
      <c r="A14" s="5" t="s">
        <v>112</v>
      </c>
      <c r="B14" s="8"/>
      <c r="C14" s="8"/>
      <c r="D14" s="8"/>
      <c r="E14" s="8"/>
      <c r="F14" s="8"/>
      <c r="G14" s="8"/>
      <c r="H14" s="8"/>
      <c r="I14" s="8"/>
    </row>
    <row r="15" customFormat="false" ht="15" hidden="false" customHeight="false" outlineLevel="0" collapsed="false">
      <c r="A15" s="5" t="s">
        <v>113</v>
      </c>
      <c r="B15" s="8"/>
      <c r="C15" s="8"/>
      <c r="D15" s="8"/>
      <c r="E15" s="8"/>
      <c r="F15" s="8"/>
      <c r="G15" s="8"/>
      <c r="H15" s="8"/>
      <c r="I15" s="8"/>
    </row>
    <row r="16" customFormat="false" ht="15" hidden="false" customHeight="false" outlineLevel="0" collapsed="false">
      <c r="A16" s="5" t="s">
        <v>114</v>
      </c>
      <c r="B16" s="8"/>
      <c r="C16" s="8"/>
      <c r="D16" s="8"/>
      <c r="E16" s="8"/>
      <c r="F16" s="8"/>
      <c r="G16" s="8"/>
      <c r="H16" s="8"/>
      <c r="I16" s="8"/>
    </row>
    <row r="17" customFormat="false" ht="15" hidden="false" customHeight="false" outlineLevel="0" collapsed="false">
      <c r="A17" s="5" t="s">
        <v>115</v>
      </c>
      <c r="B17" s="8"/>
      <c r="C17" s="8"/>
      <c r="D17" s="8"/>
      <c r="E17" s="8"/>
      <c r="F17" s="8"/>
      <c r="G17" s="8"/>
      <c r="H17" s="8"/>
      <c r="I17" s="8"/>
    </row>
    <row r="18" customFormat="false" ht="15" hidden="false" customHeight="false" outlineLevel="0" collapsed="false">
      <c r="A18" s="5" t="s">
        <v>116</v>
      </c>
      <c r="B18" s="8"/>
      <c r="C18" s="8"/>
      <c r="D18" s="8"/>
      <c r="E18" s="8"/>
      <c r="F18" s="8"/>
      <c r="G18" s="8"/>
      <c r="H18" s="8"/>
      <c r="I18" s="8"/>
    </row>
    <row r="19" customFormat="false" ht="15" hidden="false" customHeight="false" outlineLevel="0" collapsed="false">
      <c r="A19" s="5" t="s">
        <v>117</v>
      </c>
      <c r="B19" s="8"/>
      <c r="C19" s="8"/>
      <c r="D19" s="8"/>
      <c r="E19" s="8"/>
      <c r="F19" s="8"/>
      <c r="G19" s="8"/>
      <c r="H19" s="8"/>
      <c r="I19" s="8"/>
    </row>
    <row r="20" customFormat="false" ht="15" hidden="false" customHeight="false" outlineLevel="0" collapsed="false">
      <c r="A20" s="5" t="s">
        <v>118</v>
      </c>
      <c r="B20" s="8"/>
      <c r="C20" s="8"/>
      <c r="D20" s="8"/>
      <c r="E20" s="8"/>
      <c r="F20" s="8"/>
      <c r="G20" s="8"/>
      <c r="H20" s="8"/>
      <c r="I20" s="8"/>
    </row>
    <row r="21" customFormat="false" ht="15" hidden="false" customHeight="false" outlineLevel="0" collapsed="false">
      <c r="A21" s="5" t="s">
        <v>119</v>
      </c>
      <c r="B21" s="8"/>
      <c r="C21" s="8"/>
      <c r="D21" s="8"/>
      <c r="E21" s="8"/>
      <c r="F21" s="8"/>
      <c r="G21" s="8"/>
      <c r="H21" s="8"/>
      <c r="I21" s="8"/>
    </row>
    <row r="23" customFormat="false" ht="52.2" hidden="false" customHeight="false" outlineLevel="0" collapsed="false">
      <c r="B23" s="6" t="s">
        <v>120</v>
      </c>
    </row>
  </sheetData>
  <conditionalFormatting sqref="F2:F21">
    <cfRule type="cellIs" priority="2" operator="greaterThanOrEqual" aboveAverage="0" equalAverage="0" bottom="0" percent="0" rank="0" text="" dxfId="2">
      <formula>3</formula>
    </cfRule>
  </conditionalFormatting>
  <dataValidations count="3">
    <dataValidation allowBlank="true" errorStyle="stop" operator="between" showDropDown="false" showErrorMessage="false" showInputMessage="false" sqref="F2:F21" type="whole">
      <formula1>0</formula1>
      <formula2>4</formula2>
    </dataValidation>
    <dataValidation allowBlank="true" errorStyle="stop" operator="between" showDropDown="false" showErrorMessage="false" showInputMessage="false" sqref="E2:E21" type="whole">
      <formula1>1</formula1>
      <formula2>3</formula2>
    </dataValidation>
    <dataValidation allowBlank="true" errorStyle="stop" operator="between" showDropDown="false" showErrorMessage="false" showInputMessage="false" sqref="H2:H21" type="list">
      <formula1>"Corrigir antes da entrega,Evolução,Descartar"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44"/>
  </cols>
  <sheetData>
    <row r="1" customFormat="false" ht="17.35" hidden="false" customHeight="false" outlineLevel="0" collapsed="false">
      <c r="A1" s="10" t="s">
        <v>121</v>
      </c>
    </row>
    <row r="3" customFormat="false" ht="31.5" hidden="false" customHeight="true" outlineLevel="0" collapsed="false">
      <c r="A3" s="4" t="s">
        <v>122</v>
      </c>
      <c r="B3" s="4" t="s">
        <v>123</v>
      </c>
      <c r="C3" s="4" t="s">
        <v>124</v>
      </c>
      <c r="D3" s="4" t="s">
        <v>125</v>
      </c>
      <c r="E3" s="4" t="s">
        <v>126</v>
      </c>
    </row>
    <row r="4" customFormat="false" ht="15" hidden="false" customHeight="false" outlineLevel="0" collapsed="false">
      <c r="A4" s="5" t="s">
        <v>127</v>
      </c>
      <c r="B4" s="11" t="n">
        <f aca="false">COUNTA(Tarefas!$F$2:$F$13)</f>
        <v>0</v>
      </c>
      <c r="C4" s="6"/>
      <c r="D4" s="6" t="s">
        <v>128</v>
      </c>
      <c r="E4" s="6" t="s">
        <v>129</v>
      </c>
    </row>
    <row r="5" customFormat="false" ht="15" hidden="false" customHeight="false" outlineLevel="0" collapsed="false">
      <c r="A5" s="5" t="s">
        <v>130</v>
      </c>
      <c r="B5" s="12" t="str">
        <f aca="false">IF(COUNTA(Tarefas!$F$2:$F$13)=0,"",COUNTIF(Tarefas!$F$2:$F$13,"S")/COUNTA(Tarefas!$F$2:$F$13))</f>
        <v/>
      </c>
      <c r="C5" s="12" t="n">
        <v>0.8</v>
      </c>
      <c r="D5" s="6" t="str">
        <f aca="false">IF(B5="","Aguardando",IF(B5&gt;=C5,"Atende","Não atende"))</f>
        <v>Aguardando</v>
      </c>
      <c r="E5" s="6" t="s">
        <v>131</v>
      </c>
    </row>
    <row r="6" customFormat="false" ht="15" hidden="false" customHeight="false" outlineLevel="0" collapsed="false">
      <c r="A6" s="5" t="s">
        <v>132</v>
      </c>
      <c r="B6" s="12" t="str">
        <f aca="false">IF(COUNTA(Tarefas!$F$2:$F$13)=0,"",(COUNTIF(Tarefas!$F$2:$F$13,"S")+COUNTIF(Tarefas!$F$2:$F$13,"P"))/COUNTA(Tarefas!$F$2:$F$13))</f>
        <v/>
      </c>
      <c r="C6" s="6"/>
      <c r="D6" s="6" t="s">
        <v>128</v>
      </c>
      <c r="E6" s="6" t="s">
        <v>133</v>
      </c>
    </row>
    <row r="7" customFormat="false" ht="15" hidden="false" customHeight="false" outlineLevel="0" collapsed="false">
      <c r="A7" s="5" t="s">
        <v>134</v>
      </c>
      <c r="B7" s="13" t="str">
        <f aca="false">IF(COUNT(Tarefas!$H$2:$H$13)=0,"",AVERAGE(Tarefas!$H$2:$H$13))</f>
        <v/>
      </c>
      <c r="C7" s="13" t="n">
        <v>5.5</v>
      </c>
      <c r="D7" s="6" t="str">
        <f aca="false">IF(B7="","Aguardando",IF(B7&gt;=C7,"Atende","Não atende"))</f>
        <v>Aguardando</v>
      </c>
      <c r="E7" s="6" t="s">
        <v>135</v>
      </c>
    </row>
    <row r="8" customFormat="false" ht="15" hidden="false" customHeight="false" outlineLevel="0" collapsed="false">
      <c r="A8" s="5" t="s">
        <v>136</v>
      </c>
      <c r="B8" s="11" t="str">
        <f aca="false">IF(COUNT(Tarefas!$G$2:$G$13)=0,"",AVERAGE(Tarefas!$G$2:$G$13))</f>
        <v/>
      </c>
      <c r="C8" s="6"/>
      <c r="D8" s="6" t="s">
        <v>128</v>
      </c>
      <c r="E8" s="6" t="s">
        <v>137</v>
      </c>
    </row>
    <row r="9" customFormat="false" ht="15" hidden="false" customHeight="false" outlineLevel="0" collapsed="false">
      <c r="A9" s="5" t="s">
        <v>138</v>
      </c>
      <c r="B9" s="13" t="str">
        <f aca="false">SUS!$C$13</f>
        <v/>
      </c>
      <c r="C9" s="13" t="n">
        <v>68</v>
      </c>
      <c r="D9" s="6" t="str">
        <f aca="false">IF(B9="","Aguardando",IF(B9&gt;=C9,"Atende","Não atende"))</f>
        <v>Aguardando</v>
      </c>
      <c r="E9" s="6" t="s">
        <v>139</v>
      </c>
    </row>
    <row r="10" customFormat="false" ht="15" hidden="false" customHeight="false" outlineLevel="0" collapsed="false">
      <c r="A10" s="5" t="s">
        <v>140</v>
      </c>
      <c r="B10" s="11" t="n">
        <f aca="false">COUNTIF(Achados!$F$2:$F$21,"&gt;=3")</f>
        <v>0</v>
      </c>
      <c r="C10" s="6"/>
      <c r="D10" s="6" t="s">
        <v>128</v>
      </c>
      <c r="E10" s="6" t="s">
        <v>141</v>
      </c>
    </row>
    <row r="11" customFormat="false" ht="15" hidden="false" customHeight="false" outlineLevel="0" collapsed="false">
      <c r="A11" s="5" t="s">
        <v>142</v>
      </c>
      <c r="B11" s="11" t="n">
        <f aca="false">COUNTIFS(Achados!$F$2:$F$21,"&gt;=3",Achados!$H$2:$H$21,"")</f>
        <v>0</v>
      </c>
      <c r="C11" s="11" t="n">
        <v>0</v>
      </c>
      <c r="D11" s="6" t="str">
        <f aca="false">IF(COUNTA(Achados!$B$2:$B$21)=0,"Aguardando",IF(B11=0,"Atende","Não atende"))</f>
        <v>Aguardando</v>
      </c>
      <c r="E11" s="6" t="s">
        <v>143</v>
      </c>
    </row>
    <row r="13" customFormat="false" ht="31.5" hidden="false" customHeight="true" outlineLevel="0" collapsed="false">
      <c r="A13" s="4" t="s">
        <v>144</v>
      </c>
      <c r="B13" s="4" t="s">
        <v>145</v>
      </c>
      <c r="C13" s="4" t="s">
        <v>146</v>
      </c>
      <c r="D13" s="4" t="s">
        <v>147</v>
      </c>
      <c r="E13" s="4"/>
    </row>
    <row r="14" customFormat="false" ht="15" hidden="false" customHeight="false" outlineLevel="0" collapsed="false">
      <c r="A14" s="5" t="s">
        <v>21</v>
      </c>
      <c r="B14" s="12" t="str">
        <f aca="false">IF(COUNTIFS(Tarefas!$B$2:$B$13,"P1",Tarefas!$F$2:$F$13,"&lt;&gt;")=0,"",COUNTIFS(Tarefas!$B$2:$B$13,"P1",Tarefas!$F$2:$F$13,"S")/COUNTIFS(Tarefas!$B$2:$B$13,"P1",Tarefas!$F$2:$F$13,"&lt;&gt;"))</f>
        <v/>
      </c>
      <c r="C14" s="13" t="str">
        <f aca="false">IF(COUNTIFS(Tarefas!$B$2:$B$13,"P1",Tarefas!$H$2:$H$13,"&lt;&gt;")=0,"",AVERAGEIFS(Tarefas!$H$2:$H$13,Tarefas!$B$2:$B$13,"P1"))</f>
        <v/>
      </c>
      <c r="D14" s="13" t="str">
        <f aca="false">SUS!C12</f>
        <v/>
      </c>
      <c r="E14" s="6"/>
    </row>
    <row r="15" customFormat="false" ht="15" hidden="false" customHeight="false" outlineLevel="0" collapsed="false">
      <c r="A15" s="5" t="s">
        <v>23</v>
      </c>
      <c r="B15" s="12" t="str">
        <f aca="false">IF(COUNTIFS(Tarefas!$B$2:$B$13,"P2",Tarefas!$F$2:$F$13,"&lt;&gt;")=0,"",COUNTIFS(Tarefas!$B$2:$B$13,"P2",Tarefas!$F$2:$F$13,"S")/COUNTIFS(Tarefas!$B$2:$B$13,"P2",Tarefas!$F$2:$F$13,"&lt;&gt;"))</f>
        <v/>
      </c>
      <c r="C15" s="13" t="str">
        <f aca="false">IF(COUNTIFS(Tarefas!$B$2:$B$13,"P2",Tarefas!$H$2:$H$13,"&lt;&gt;")=0,"",AVERAGEIFS(Tarefas!$H$2:$H$13,Tarefas!$B$2:$B$13,"P2"))</f>
        <v/>
      </c>
      <c r="D15" s="13" t="str">
        <f aca="false">SUS!D12</f>
        <v/>
      </c>
      <c r="E15" s="6"/>
    </row>
    <row r="16" customFormat="false" ht="15" hidden="false" customHeight="false" outlineLevel="0" collapsed="false">
      <c r="A16" s="5" t="s">
        <v>25</v>
      </c>
      <c r="B16" s="12" t="str">
        <f aca="false">IF(COUNTIFS(Tarefas!$B$2:$B$13,"P3",Tarefas!$F$2:$F$13,"&lt;&gt;")=0,"",COUNTIFS(Tarefas!$B$2:$B$13,"P3",Tarefas!$F$2:$F$13,"S")/COUNTIFS(Tarefas!$B$2:$B$13,"P3",Tarefas!$F$2:$F$13,"&lt;&gt;"))</f>
        <v/>
      </c>
      <c r="C16" s="13" t="str">
        <f aca="false">IF(COUNTIFS(Tarefas!$B$2:$B$13,"P3",Tarefas!$H$2:$H$13,"&lt;&gt;")=0,"",AVERAGEIFS(Tarefas!$H$2:$H$13,Tarefas!$B$2:$B$13,"P3"))</f>
        <v/>
      </c>
      <c r="D16" s="13" t="str">
        <f aca="false">SUS!E12</f>
        <v/>
      </c>
      <c r="E16" s="6"/>
    </row>
    <row r="18" customFormat="false" ht="15" hidden="false" customHeight="true" outlineLevel="0" collapsed="false">
      <c r="A18" s="6" t="s">
        <v>148</v>
      </c>
      <c r="B18" s="6"/>
      <c r="C18" s="6"/>
      <c r="D18" s="6"/>
      <c r="E18" s="6"/>
    </row>
  </sheetData>
  <mergeCells count="1">
    <mergeCell ref="A18:E18"/>
  </mergeCells>
  <conditionalFormatting sqref="D4:D11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2">
      <formula>"Não atende"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2026-09-28T19:21:24Z</dcterms:created>
  <dc:creator>openpyxl</dc:creator>
  <dc:description/>
  <dc:language>en-US</dc:language>
  <cp:lastModifiedBy/>
  <dcterms:modified xsi:type="dcterms:W3CDTF">2026-09-28T19:21:24Z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