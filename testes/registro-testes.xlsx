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nelsonsouzaneto/Library/Mobile Documents/com~apple~CloudDocs/ACADEMIA/INTELI/MBA 2026/MODULO 3/"/>
    </mc:Choice>
  </mc:AlternateContent>
  <xr:revisionPtr revIDLastSave="0" documentId="13_ncr:1_{6B2125E7-6116-F84A-8CBB-F659D8C65FD3}" xr6:coauthVersionLast="47" xr6:coauthVersionMax="47" xr10:uidLastSave="{00000000-0000-0000-0000-000000000000}"/>
  <bookViews>
    <workbookView xWindow="0" yWindow="660" windowWidth="29240" windowHeight="16980" tabRatio="500" activeTab="2" xr2:uid="{00000000-000D-0000-FFFF-FFFF00000000}"/>
  </bookViews>
  <sheets>
    <sheet name="Instruções" sheetId="1" r:id="rId1"/>
    <sheet name="Participantes" sheetId="2" r:id="rId2"/>
    <sheet name="Tarefas" sheetId="3" r:id="rId3"/>
    <sheet name="SUS" sheetId="4" r:id="rId4"/>
    <sheet name="Achados" sheetId="5" r:id="rId5"/>
    <sheet name="Resumo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6" l="1"/>
  <c r="B16" i="6"/>
  <c r="C15" i="6"/>
  <c r="B15" i="6"/>
  <c r="C14" i="6"/>
  <c r="B14" i="6"/>
  <c r="B11" i="6"/>
  <c r="D11" i="6" s="1"/>
  <c r="B10" i="6"/>
  <c r="B8" i="6"/>
  <c r="B7" i="6"/>
  <c r="B6" i="6"/>
  <c r="B5" i="6"/>
  <c r="B4" i="6"/>
  <c r="E12" i="4"/>
  <c r="D12" i="4"/>
  <c r="D15" i="6" s="1"/>
  <c r="C12" i="4"/>
  <c r="D14" i="6" l="1"/>
  <c r="C13" i="4"/>
  <c r="B9" i="6" s="1"/>
  <c r="D9" i="6" s="1"/>
  <c r="D16" i="6"/>
  <c r="D5" i="6"/>
  <c r="D7" i="6"/>
</calcChain>
</file>

<file path=xl/sharedStrings.xml><?xml version="1.0" encoding="utf-8"?>
<sst xmlns="http://schemas.openxmlformats.org/spreadsheetml/2006/main" count="213" uniqueCount="166">
  <si>
    <t>Registro dos testes com usuários · EbenézerConecta (MVP Semana 10)</t>
  </si>
  <si>
    <t>Roteiro completo: docs/testes-com-usuarios.md. Versão testada: https://ebenezer-vert.vercel.app</t>
  </si>
  <si>
    <t>Como preencher</t>
  </si>
  <si>
    <t>• Preencha apenas as células em amarelo claro. As demais contêm fórmulas ou textos do roteiro.</t>
  </si>
  <si>
    <t>• Participantes: identifique cada pessoa só por P1, P2, P3 — sem nome, e-mail ou telefone (LGPD).</t>
  </si>
  <si>
    <t>• Tarefas: Resultado = S (sem ajuda), P (com hesitação relevante ou dica) ou N (não concluiu). Tempo em segundos. SEQ de 1 a 7.</t>
  </si>
  <si>
    <t>• SUS: notas de 1 (discordo totalmente) a 5 (concordo totalmente) para cada item; a nota final (0–100) é calculada.</t>
  </si>
  <si>
    <t>• Achados: um problema por linha; severidade de 0 (não é problema) a 4 (catástrofe de uso), escala de Nielsen.</t>
  </si>
  <si>
    <t>• Resumo: consolida tudo automaticamente e compara com as metas definidas antes dos testes.</t>
  </si>
  <si>
    <t>Exemplo de preenchimento (fictício, apenas para mostrar o formato)</t>
  </si>
  <si>
    <t>Tarefas → P1-T3 | Resultado: P | Tempo (s): 95 | SEQ: 5 | Desvios: "procurou o valor em Doação única antes dos planos" | Falas: "achei que R$ 50 era só uma vez"</t>
  </si>
  <si>
    <t>Achados → A01 | "Participante não distinguiu plano mensal de doação única" | /doar | P1 | 1 | Severidade 3 | "Reforçar /mês no botão e separar visualmente as seções" | Corrigir antes da entrega</t>
  </si>
  <si>
    <t>ID</t>
  </si>
  <si>
    <t>Perfil testado</t>
  </si>
  <si>
    <t>Data da sessão</t>
  </si>
  <si>
    <t>Formato (presencial/remoto)</t>
  </si>
  <si>
    <t>Dispositivo e navegador</t>
  </si>
  <si>
    <t>Já doa para alguma causa? (sim/não/eventualmente)</t>
  </si>
  <si>
    <t>Consentiu registro de falas</t>
  </si>
  <si>
    <t>Consentiu gravação de tela</t>
  </si>
  <si>
    <t>Observações do moderador</t>
  </si>
  <si>
    <t>P1</t>
  </si>
  <si>
    <t>Pessoa que nunca doou e chega por convite</t>
  </si>
  <si>
    <t>P2</t>
  </si>
  <si>
    <t>Doador recorrente (conta do Eduardo)</t>
  </si>
  <si>
    <t>P3</t>
  </si>
  <si>
    <t>Embaixadora (conta da Renata)</t>
  </si>
  <si>
    <t>Tarefa</t>
  </si>
  <si>
    <t>Sessão</t>
  </si>
  <si>
    <t>User story</t>
  </si>
  <si>
    <t>Tarefa (resumo)</t>
  </si>
  <si>
    <t>Critério de sucesso</t>
  </si>
  <si>
    <t>Resultado (S/P/N)</t>
  </si>
  <si>
    <t>Tempo (s)</t>
  </si>
  <si>
    <t>SEQ (1–7)</t>
  </si>
  <si>
    <t>Desvios e erros observados</t>
  </si>
  <si>
    <t>Falas relevantes</t>
  </si>
  <si>
    <t>P1-T1</t>
  </si>
  <si>
    <t>US-05</t>
  </si>
  <si>
    <t>Descobrir o que o Instituto faz e quantas crianças foram atendidas no último mês (a partir do link de convite)</t>
  </si>
  <si>
    <t>Diz o número do indicador e cita um programa</t>
  </si>
  <si>
    <t>P1-T2</t>
  </si>
  <si>
    <t>Criar conta com e-mail fictício</t>
  </si>
  <si>
    <t>Chega à tela de doação com boas-vindas</t>
  </si>
  <si>
    <t>P1-T3</t>
  </si>
  <si>
    <t>US-01</t>
  </si>
  <si>
    <t>Fazer contribuição mensal de R$ 50</t>
  </si>
  <si>
    <t>Vê "Doação confirmada" com R$ 50,00/mês</t>
  </si>
  <si>
    <t>P1-T4</t>
  </si>
  <si>
    <t>US-02</t>
  </si>
  <si>
    <t>Mostrar onde pausaria a contribuição (sem pausar)</t>
  </si>
  <si>
    <t>Chega à área de pausa em Gerenciar Recorrência</t>
  </si>
  <si>
    <t>P2-T1</t>
  </si>
  <si>
    <t>Aumentar a contribuição para R$ 150/mês</t>
  </si>
  <si>
    <t>Histórico mostra R$ 120,00 → R$ 150,00</t>
  </si>
  <si>
    <t>P2-T2</t>
  </si>
  <si>
    <t>US-03</t>
  </si>
  <si>
    <t>Descobrir o que aconteceu no Reforço Escolar nos últimos dias</t>
  </si>
  <si>
    <t>Filtra/encontra publicação e resume uma atividade</t>
  </si>
  <si>
    <t>P2-T3</t>
  </si>
  <si>
    <t>US-04</t>
  </si>
  <si>
    <t>Dizer quanto falta para o próximo reconhecimento</t>
  </si>
  <si>
    <t>Diz "10 meses" (Guardião da Educação)</t>
  </si>
  <si>
    <t>P2-T4</t>
  </si>
  <si>
    <t>Abrir o certificado mais recente e explicar como terceiros confirmam</t>
  </si>
  <si>
    <t>Abre EC-2026-000148 e aponta a verificação pública</t>
  </si>
  <si>
    <t>P3-T1</t>
  </si>
  <si>
    <t>Dizer quantas pessoas doaram pelo convite e qual rede trouxe mais</t>
  </si>
  <si>
    <t>Diz 13 e WhatsApp</t>
  </si>
  <si>
    <t>P3-T2</t>
  </si>
  <si>
    <t>Pegar mensagem pronta para WhatsApp com o link</t>
  </si>
  <si>
    <t>Copia o texto pronto ou o link</t>
  </si>
  <si>
    <t>P3-T3</t>
  </si>
  <si>
    <t>Preparar convite no LinkedIn (sem publicar)</t>
  </si>
  <si>
    <t>Escolhe Convite e abre o LinkedIn pela plataforma</t>
  </si>
  <si>
    <t>P3-T4</t>
  </si>
  <si>
    <t>Dizer o próximo reconhecimento de embaixadora e quanto falta</t>
  </si>
  <si>
    <t>Diz "Mobilizador, faltam 12"</t>
  </si>
  <si>
    <t>#</t>
  </si>
  <si>
    <t>Afirmação (System Usability Scale)</t>
  </si>
  <si>
    <t>Eu acho que gostaria de usar este sistema com frequência.</t>
  </si>
  <si>
    <t>Eu achei o sistema desnecessariamente complexo.</t>
  </si>
  <si>
    <t>Eu achei o sistema fácil de usar.</t>
  </si>
  <si>
    <t>Eu acho que precisaria do apoio de um técnico para conseguir usar este sistema.</t>
  </si>
  <si>
    <t>Eu achei que as várias funções do sistema estão bem integradas.</t>
  </si>
  <si>
    <t>Eu achei que o sistema apresenta muita inconsistência.</t>
  </si>
  <si>
    <t>Eu imagino que a maioria das pessoas aprenderia a usar este sistema rapidamente.</t>
  </si>
  <si>
    <t>Eu achei o sistema muito complicado de usar.</t>
  </si>
  <si>
    <t>Eu me senti muito confiante usando o sistema.</t>
  </si>
  <si>
    <t>Eu precisei aprender várias coisas antes de conseguir usar este sistema.</t>
  </si>
  <si>
    <t>Nota SUS (0–100) — itens ímpares: nota − 1; itens pares: 5 − nota; soma × 2,5</t>
  </si>
  <si>
    <t>Média SUS dos participantes com questionário completo</t>
  </si>
  <si>
    <t>Problema observado</t>
  </si>
  <si>
    <t>Tela / rota</t>
  </si>
  <si>
    <t>Participantes (ex.: P1, P3)</t>
  </si>
  <si>
    <t>Nº de participantes</t>
  </si>
  <si>
    <t>Severidade (0–4)</t>
  </si>
  <si>
    <t>Recomendação</t>
  </si>
  <si>
    <t>Decisão</t>
  </si>
  <si>
    <t>Justificativa da decisão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</si>
  <si>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</si>
  <si>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</si>
  <si>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</si>
  <si>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</si>
  <si>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</si>
  <si>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</si>
  <si>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</si>
  <si>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</si>
  <si>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</si>
  <si>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</si>
  <si>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</si>
  <si>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</si>
  <si>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</si>
  <si>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</si>
  <si>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</si>
  <si>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</si>
  <si>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</si>
  <si>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</si>
  <si>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</si>
  <si>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</si>
  <si>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Escala de severidade (Nielsen): 0 não é problema · 1 cosmético · 2 menor · 3 maior (prioridade alta) · 4 catástrofe (corrigir antes de lançar)</t>
  </si>
  <si>
    <t>Resumo dos testes (calculado)</t>
  </si>
  <si>
    <t>Métrica</t>
  </si>
  <si>
    <t>Resultado</t>
  </si>
  <si>
    <t>Meta</t>
  </si>
  <si>
    <t>Situação</t>
  </si>
  <si>
    <t>Observação</t>
  </si>
  <si>
    <t>Tarefas registradas</t>
  </si>
  <si>
    <t>—</t>
  </si>
  <si>
    <t>De 12 tarefas previstas</t>
  </si>
  <si>
    <t>Taxa de sucesso sem ajuda (S)</t>
  </si>
  <si>
    <t>Sobre as tarefas registradas</t>
  </si>
  <si>
    <t>Taxa de conclusão (S + P)</t>
  </si>
  <si>
    <t>Inclui conclusões com hesitação ou dica</t>
  </si>
  <si>
    <t>SEQ médio (1–7)</t>
  </si>
  <si>
    <t>Single Ease Question após cada tarefa</t>
  </si>
  <si>
    <t>Tempo médio por tarefa (s)</t>
  </si>
  <si>
    <t>Referência para comparar versões futuras</t>
  </si>
  <si>
    <t>SUS médio (0–100)</t>
  </si>
  <si>
    <t>Média de referência da escala SUS: 68</t>
  </si>
  <si>
    <t>Achados de severidade 3 ou 4</t>
  </si>
  <si>
    <t>Cada um precisa de decisão registrada</t>
  </si>
  <si>
    <t>Achados sev. ≥ 3 sem decisão</t>
  </si>
  <si>
    <t>Meta: nenhum sem plano</t>
  </si>
  <si>
    <t>Por sessão</t>
  </si>
  <si>
    <t>Sucesso (S)</t>
  </si>
  <si>
    <t>SEQ médio</t>
  </si>
  <si>
    <t>SUS</t>
  </si>
  <si>
    <t>Com três participantes os números são indicativos, não estatísticos; o valor principal está nos problemas observados (aba Achados).</t>
  </si>
  <si>
    <t>Remoto</t>
  </si>
  <si>
    <t>Safari</t>
  </si>
  <si>
    <t>Eventualmente</t>
  </si>
  <si>
    <t>Sim</t>
  </si>
  <si>
    <t>Não</t>
  </si>
  <si>
    <t>S</t>
  </si>
  <si>
    <t>P</t>
  </si>
  <si>
    <t>Dados de cadastro não deveriam ser apagados a cada tentativa com falha.</t>
  </si>
  <si>
    <t>N</t>
  </si>
  <si>
    <t>-</t>
  </si>
  <si>
    <t>sim</t>
  </si>
  <si>
    <t>não</t>
  </si>
  <si>
    <t>Cadastro de novo usuário</t>
  </si>
  <si>
    <t>Crie Sua Conta</t>
  </si>
  <si>
    <t>Ajuste de configuração</t>
  </si>
  <si>
    <t>Corrigir antes da entrega</t>
  </si>
  <si>
    <t>Simplificar acesso de novo usuário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</si>
</sst>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"/>
  </numFmts>
  <fonts count="6" x14ac:knownFonts="1">
    <font>
      <sz val="11"/>
      <color theme="1"/>
      <name val="Calibri"/>
      <family val="2"/>
      <charset val="1"/>
    </font>
    <font>
      <b/>
      <sz val="14"/>
      <color rgb="FF006255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255"/>
        <bgColor rgb="FF008080"/>
      </patternFill>
    </fill>
    <fill>
      <patternFill patternType="solid">
        <fgColor rgb="FFFFF2CC"/>
        <bgColor rgb="FFFFEB9C"/>
      </patternFill>
    </fill>
  </fills>
  <borders count="2">
    <border>
      <left/>
      <right/>
      <top/>
      <bottom/>
      <diagonal/>
    </border>
    <border>
      <left style="thin">
        <color rgb="FFC9D2CF"/>
      </left>
      <right style="thin">
        <color rgb="FFC9D2CF"/>
      </right>
      <top style="thin">
        <color rgb="FFC9D2CF"/>
      </top>
      <bottom style="thin">
        <color rgb="FFC9D2C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  <xf numFmtId="0" fontId="1" fillId="0" borderId="0" xfId="0" applyFont="1"/>
    <xf numFmtId="1" fontId="2" fillId="0" borderId="1" xfId="0" applyNumberFormat="1" applyFont="1" applyBorder="1" applyAlignment="1">
      <alignment vertical="top" wrapText="1"/>
    </xf>
    <xf numFmtId="9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255"/>
      <rgbColor rgb="FFC9D2C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showGridLines="0" zoomScale="135" zoomScaleNormal="100" workbookViewId="0">
      <selection activeCell="A7" sqref="A7"/>
    </sheetView>
  </sheetViews>
  <sheetFormatPr baseColWidth="10" defaultColWidth="8.6640625" defaultRowHeight="15" x14ac:dyDescent="0.2"/>
  <cols>
    <col min="1" max="1" width="110" customWidth="1"/>
  </cols>
  <sheetData>
    <row r="1" spans="1:1" ht="19" x14ac:dyDescent="0.2">
      <c r="A1" s="2" t="s">
        <v>0</v>
      </c>
    </row>
    <row r="2" spans="1:1" ht="16" x14ac:dyDescent="0.2">
      <c r="A2" s="3" t="s">
        <v>1</v>
      </c>
    </row>
    <row r="3" spans="1:1" x14ac:dyDescent="0.2">
      <c r="A3" s="3"/>
    </row>
    <row r="4" spans="1:1" ht="16" x14ac:dyDescent="0.2">
      <c r="A4" s="4" t="s">
        <v>2</v>
      </c>
    </row>
    <row r="5" spans="1:1" ht="16" x14ac:dyDescent="0.2">
      <c r="A5" s="3" t="s">
        <v>3</v>
      </c>
    </row>
    <row r="6" spans="1:1" ht="16" x14ac:dyDescent="0.2">
      <c r="A6" s="3" t="s">
        <v>4</v>
      </c>
    </row>
    <row r="7" spans="1:1" ht="31" x14ac:dyDescent="0.2">
      <c r="A7" s="3" t="s">
        <v>5</v>
      </c>
    </row>
    <row r="8" spans="1:1" ht="16" x14ac:dyDescent="0.2">
      <c r="A8" s="3" t="s">
        <v>6</v>
      </c>
    </row>
    <row r="9" spans="1:1" ht="16" x14ac:dyDescent="0.2">
      <c r="A9" s="3" t="s">
        <v>7</v>
      </c>
    </row>
    <row r="10" spans="1:1" ht="16" x14ac:dyDescent="0.2">
      <c r="A10" s="3" t="s">
        <v>8</v>
      </c>
    </row>
    <row r="11" spans="1:1" x14ac:dyDescent="0.2">
      <c r="A11" s="3"/>
    </row>
    <row r="12" spans="1:1" ht="16" x14ac:dyDescent="0.2">
      <c r="A12" s="4" t="s">
        <v>9</v>
      </c>
    </row>
    <row r="13" spans="1:1" ht="31" x14ac:dyDescent="0.2">
      <c r="A13" s="3" t="s">
        <v>10</v>
      </c>
    </row>
    <row r="14" spans="1:1" ht="31" x14ac:dyDescent="0.2">
      <c r="A14" s="3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1" width="6" customWidth="1"/>
    <col min="2" max="2" width="34" customWidth="1"/>
    <col min="3" max="3" width="14" customWidth="1"/>
    <col min="4" max="4" width="16" customWidth="1"/>
    <col min="5" max="6" width="22" customWidth="1"/>
    <col min="7" max="8" width="14" customWidth="1"/>
    <col min="9" max="9" width="40" customWidth="1"/>
  </cols>
  <sheetData>
    <row r="1" spans="1:9" ht="60" x14ac:dyDescent="0.2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</row>
    <row r="2" spans="1:9" ht="30" x14ac:dyDescent="0.2">
      <c r="A2" s="6" t="s">
        <v>21</v>
      </c>
      <c r="B2" s="1" t="s">
        <v>22</v>
      </c>
      <c r="C2" s="7">
        <v>46300</v>
      </c>
      <c r="D2" s="8" t="s">
        <v>149</v>
      </c>
      <c r="E2" s="14" t="s">
        <v>150</v>
      </c>
      <c r="F2" s="14" t="s">
        <v>151</v>
      </c>
      <c r="G2" s="8" t="s">
        <v>152</v>
      </c>
      <c r="H2" s="8" t="s">
        <v>153</v>
      </c>
      <c r="I2" s="8"/>
    </row>
    <row r="3" spans="1:9" x14ac:dyDescent="0.2">
      <c r="A3" s="6" t="s">
        <v>23</v>
      </c>
      <c r="B3" s="1" t="s">
        <v>24</v>
      </c>
      <c r="C3" s="7">
        <v>46300</v>
      </c>
      <c r="D3" s="8" t="s">
        <v>149</v>
      </c>
      <c r="E3" s="14" t="s">
        <v>150</v>
      </c>
      <c r="F3" s="14" t="s">
        <v>159</v>
      </c>
      <c r="G3" s="8" t="s">
        <v>152</v>
      </c>
      <c r="H3" s="8" t="s">
        <v>153</v>
      </c>
      <c r="I3" s="8"/>
    </row>
    <row r="4" spans="1:9" x14ac:dyDescent="0.2">
      <c r="A4" s="6" t="s">
        <v>25</v>
      </c>
      <c r="B4" s="1" t="s">
        <v>26</v>
      </c>
      <c r="C4" s="7">
        <v>46300</v>
      </c>
      <c r="D4" s="8" t="s">
        <v>149</v>
      </c>
      <c r="E4" s="14" t="s">
        <v>150</v>
      </c>
      <c r="F4" s="14" t="s">
        <v>160</v>
      </c>
      <c r="G4" s="8" t="s">
        <v>152</v>
      </c>
      <c r="H4" s="8" t="s">
        <v>153</v>
      </c>
      <c r="I4" s="8"/>
    </row>
  </sheetData>
  <dataValidations count="2">
    <dataValidation type="list" allowBlank="1" sqref="G2:H4" xr:uid="{00000000-0002-0000-0100-000000000000}">
      <formula1>"Sim,Não"</formula1>
      <formula2>0</formula2>
    </dataValidation>
    <dataValidation type="list" allowBlank="1" sqref="D2:D4" xr:uid="{00000000-0002-0000-0100-000001000000}">
      <formula1>"Presencial,Remoto"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" sqref="I2"/>
    </sheetView>
  </sheetViews>
  <sheetFormatPr baseColWidth="10" defaultColWidth="8.6640625" defaultRowHeight="15" x14ac:dyDescent="0.2"/>
  <cols>
    <col min="1" max="1" width="9" customWidth="1"/>
    <col min="2" max="2" width="8" customWidth="1"/>
    <col min="3" max="3" width="10" customWidth="1"/>
    <col min="4" max="4" width="38" customWidth="1"/>
    <col min="5" max="5" width="42" customWidth="1"/>
    <col min="6" max="6" width="11" customWidth="1"/>
    <col min="7" max="8" width="9" customWidth="1"/>
    <col min="9" max="10" width="36" customWidth="1"/>
  </cols>
  <sheetData>
    <row r="1" spans="1:10" ht="31.5" customHeight="1" x14ac:dyDescent="0.2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</row>
    <row r="2" spans="1:10" ht="43.5" customHeight="1" x14ac:dyDescent="0.2">
      <c r="A2" s="6" t="s">
        <v>37</v>
      </c>
      <c r="B2" s="1" t="s">
        <v>21</v>
      </c>
      <c r="C2" s="1" t="s">
        <v>38</v>
      </c>
      <c r="D2" s="1" t="s">
        <v>39</v>
      </c>
      <c r="E2" s="1" t="s">
        <v>40</v>
      </c>
      <c r="F2" s="8" t="s">
        <v>154</v>
      </c>
      <c r="G2" s="8">
        <v>57</v>
      </c>
      <c r="H2" s="8">
        <v>6</v>
      </c>
      <c r="I2" s="8"/>
      <c r="J2" s="8"/>
    </row>
    <row r="3" spans="1:10" ht="43.5" customHeight="1" x14ac:dyDescent="0.2">
      <c r="A3" s="6" t="s">
        <v>41</v>
      </c>
      <c r="B3" s="1" t="s">
        <v>21</v>
      </c>
      <c r="C3" s="1" t="s">
        <v>38</v>
      </c>
      <c r="D3" s="1" t="s">
        <v>42</v>
      </c>
      <c r="E3" s="1" t="s">
        <v>43</v>
      </c>
      <c r="F3" s="8" t="s">
        <v>154</v>
      </c>
      <c r="G3" s="8">
        <v>212</v>
      </c>
      <c r="H3" s="8">
        <v>3</v>
      </c>
      <c r="I3" s="8"/>
      <c r="J3" s="14" t="s">
        <v>156</v>
      </c>
    </row>
    <row r="4" spans="1:10" ht="43.5" customHeight="1" x14ac:dyDescent="0.2">
      <c r="A4" s="6" t="s">
        <v>44</v>
      </c>
      <c r="B4" s="1" t="s">
        <v>21</v>
      </c>
      <c r="C4" s="1" t="s">
        <v>45</v>
      </c>
      <c r="D4" s="1" t="s">
        <v>46</v>
      </c>
      <c r="E4" s="1" t="s">
        <v>47</v>
      </c>
      <c r="F4" s="8" t="s">
        <v>154</v>
      </c>
      <c r="G4" s="8">
        <v>12</v>
      </c>
      <c r="H4" s="8">
        <v>7</v>
      </c>
      <c r="I4" s="8"/>
      <c r="J4" s="8"/>
    </row>
    <row r="5" spans="1:10" ht="43.5" customHeight="1" x14ac:dyDescent="0.2">
      <c r="A5" s="6" t="s">
        <v>48</v>
      </c>
      <c r="B5" s="1" t="s">
        <v>21</v>
      </c>
      <c r="C5" s="1" t="s">
        <v>49</v>
      </c>
      <c r="D5" s="1" t="s">
        <v>50</v>
      </c>
      <c r="E5" s="1" t="s">
        <v>51</v>
      </c>
      <c r="F5" s="8" t="s">
        <v>155</v>
      </c>
      <c r="G5" s="8">
        <v>183</v>
      </c>
      <c r="H5" s="8">
        <v>6</v>
      </c>
      <c r="I5" s="8"/>
      <c r="J5" s="8"/>
    </row>
    <row r="6" spans="1:10" ht="43.5" customHeight="1" x14ac:dyDescent="0.2">
      <c r="A6" s="6" t="s">
        <v>52</v>
      </c>
      <c r="B6" s="1" t="s">
        <v>23</v>
      </c>
      <c r="C6" s="1" t="s">
        <v>49</v>
      </c>
      <c r="D6" s="1" t="s">
        <v>53</v>
      </c>
      <c r="E6" s="1" t="s">
        <v>54</v>
      </c>
      <c r="F6" s="8" t="s">
        <v>155</v>
      </c>
      <c r="G6" s="8">
        <v>62</v>
      </c>
      <c r="H6" s="8">
        <v>5</v>
      </c>
      <c r="I6" s="8"/>
      <c r="J6" s="8"/>
    </row>
    <row r="7" spans="1:10" ht="43.5" customHeight="1" x14ac:dyDescent="0.2">
      <c r="A7" s="6" t="s">
        <v>55</v>
      </c>
      <c r="B7" s="1" t="s">
        <v>23</v>
      </c>
      <c r="C7" s="1" t="s">
        <v>56</v>
      </c>
      <c r="D7" s="1" t="s">
        <v>57</v>
      </c>
      <c r="E7" s="1" t="s">
        <v>58</v>
      </c>
      <c r="F7" s="8" t="s">
        <v>154</v>
      </c>
      <c r="G7" s="8">
        <v>7</v>
      </c>
      <c r="H7" s="8">
        <v>7</v>
      </c>
      <c r="I7" s="8"/>
      <c r="J7" s="8"/>
    </row>
    <row r="8" spans="1:10" ht="43.5" customHeight="1" x14ac:dyDescent="0.2">
      <c r="A8" s="6" t="s">
        <v>59</v>
      </c>
      <c r="B8" s="1" t="s">
        <v>23</v>
      </c>
      <c r="C8" s="1" t="s">
        <v>60</v>
      </c>
      <c r="D8" s="1" t="s">
        <v>61</v>
      </c>
      <c r="E8" s="1" t="s">
        <v>62</v>
      </c>
      <c r="F8" s="8" t="s">
        <v>155</v>
      </c>
      <c r="G8" s="8">
        <v>22</v>
      </c>
      <c r="H8" s="8">
        <v>5</v>
      </c>
      <c r="I8" s="8"/>
      <c r="J8" s="8"/>
    </row>
    <row r="9" spans="1:10" ht="43.5" customHeight="1" x14ac:dyDescent="0.2">
      <c r="A9" s="6" t="s">
        <v>63</v>
      </c>
      <c r="B9" s="1" t="s">
        <v>23</v>
      </c>
      <c r="C9" s="1" t="s">
        <v>60</v>
      </c>
      <c r="D9" s="1" t="s">
        <v>64</v>
      </c>
      <c r="E9" s="1" t="s">
        <v>65</v>
      </c>
      <c r="F9" s="8" t="s">
        <v>154</v>
      </c>
      <c r="G9" s="8">
        <v>18</v>
      </c>
      <c r="H9" s="8">
        <v>5</v>
      </c>
      <c r="I9" s="8"/>
      <c r="J9" s="8"/>
    </row>
    <row r="10" spans="1:10" ht="43.5" customHeight="1" x14ac:dyDescent="0.2">
      <c r="A10" s="6" t="s">
        <v>66</v>
      </c>
      <c r="B10" s="1" t="s">
        <v>25</v>
      </c>
      <c r="C10" s="1" t="s">
        <v>38</v>
      </c>
      <c r="D10" s="1" t="s">
        <v>67</v>
      </c>
      <c r="E10" s="1" t="s">
        <v>68</v>
      </c>
      <c r="F10" s="8" t="s">
        <v>157</v>
      </c>
      <c r="G10" s="14" t="s">
        <v>158</v>
      </c>
      <c r="H10" s="8">
        <v>2</v>
      </c>
      <c r="I10" s="8"/>
      <c r="J10" s="8"/>
    </row>
    <row r="11" spans="1:10" ht="43.5" customHeight="1" x14ac:dyDescent="0.2">
      <c r="A11" s="6" t="s">
        <v>69</v>
      </c>
      <c r="B11" s="1" t="s">
        <v>25</v>
      </c>
      <c r="C11" s="1" t="s">
        <v>38</v>
      </c>
      <c r="D11" s="1" t="s">
        <v>70</v>
      </c>
      <c r="E11" s="1" t="s">
        <v>71</v>
      </c>
      <c r="F11" s="8" t="s">
        <v>154</v>
      </c>
      <c r="G11" s="8">
        <v>21</v>
      </c>
      <c r="H11" s="8">
        <v>5</v>
      </c>
      <c r="I11" s="8"/>
      <c r="J11" s="8"/>
    </row>
    <row r="12" spans="1:10" ht="43.5" customHeight="1" x14ac:dyDescent="0.2">
      <c r="A12" s="6" t="s">
        <v>72</v>
      </c>
      <c r="B12" s="1" t="s">
        <v>25</v>
      </c>
      <c r="C12" s="1" t="s">
        <v>38</v>
      </c>
      <c r="D12" s="1" t="s">
        <v>73</v>
      </c>
      <c r="E12" s="1" t="s">
        <v>74</v>
      </c>
      <c r="F12" s="8" t="s">
        <v>154</v>
      </c>
      <c r="G12" s="8">
        <v>11</v>
      </c>
      <c r="H12" s="8">
        <v>4</v>
      </c>
      <c r="I12" s="8"/>
      <c r="J12" s="8"/>
    </row>
    <row r="13" spans="1:10" ht="43.5" customHeight="1" x14ac:dyDescent="0.2">
      <c r="A13" s="6" t="s">
        <v>75</v>
      </c>
      <c r="B13" s="1" t="s">
        <v>25</v>
      </c>
      <c r="C13" s="1" t="s">
        <v>38</v>
      </c>
      <c r="D13" s="1" t="s">
        <v>76</v>
      </c>
      <c r="E13" s="1" t="s">
        <v>77</v>
      </c>
      <c r="F13" s="8" t="s">
        <v>154</v>
      </c>
      <c r="G13" s="8">
        <v>14</v>
      </c>
      <c r="H13" s="8">
        <v>5</v>
      </c>
      <c r="I13" s="8"/>
      <c r="J13" s="8"/>
    </row>
  </sheetData>
  <conditionalFormatting sqref="F2:F13">
    <cfRule type="cellIs" dxfId="5" priority="2" operator="equal">
      <formula>"S"</formula>
    </cfRule>
    <cfRule type="cellIs" dxfId="4" priority="3" operator="equal">
      <formula>"P"</formula>
    </cfRule>
    <cfRule type="cellIs" dxfId="3" priority="4" operator="equal">
      <formula>"N"</formula>
    </cfRule>
  </conditionalFormatting>
  <dataValidations count="3">
    <dataValidation type="list" allowBlank="1" showErrorMessage="1" error="Use S, P ou N" sqref="F2:F13" xr:uid="{00000000-0002-0000-0200-000000000000}">
      <formula1>"S,P,N"</formula1>
      <formula2>0</formula2>
    </dataValidation>
    <dataValidation type="whole" allowBlank="1" showErrorMessage="1" error="SEQ vai de 1 a 7" sqref="H2:H13" xr:uid="{00000000-0002-0000-0200-000001000000}">
      <formula1>1</formula1>
      <formula2>7</formula2>
    </dataValidation>
    <dataValidation type="whole" allowBlank="1" sqref="G2:G13" xr:uid="{00000000-0002-0000-0200-000002000000}">
      <formula1>0</formula1>
      <formula2>3600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showGridLines="0" zoomScaleNormal="100" workbookViewId="0"/>
  </sheetViews>
  <sheetFormatPr baseColWidth="10" defaultColWidth="8.6640625" defaultRowHeight="15" x14ac:dyDescent="0.2"/>
  <cols>
    <col min="1" max="1" width="5" customWidth="1"/>
    <col min="2" max="2" width="70" customWidth="1"/>
    <col min="3" max="5" width="9" customWidth="1"/>
  </cols>
  <sheetData>
    <row r="1" spans="1:5" ht="31.5" customHeight="1" x14ac:dyDescent="0.2">
      <c r="A1" s="5" t="s">
        <v>78</v>
      </c>
      <c r="B1" s="5" t="s">
        <v>79</v>
      </c>
      <c r="C1" s="5" t="s">
        <v>21</v>
      </c>
      <c r="D1" s="5" t="s">
        <v>23</v>
      </c>
      <c r="E1" s="5" t="s">
        <v>25</v>
      </c>
    </row>
    <row r="2" spans="1:5" x14ac:dyDescent="0.2">
      <c r="A2" s="6">
        <v>1</v>
      </c>
      <c r="B2" s="1" t="s">
        <v>80</v>
      </c>
      <c r="C2" s="8">
        <v>5</v>
      </c>
      <c r="D2" s="8">
        <v>5</v>
      </c>
      <c r="E2" s="8">
        <v>4</v>
      </c>
    </row>
    <row r="3" spans="1:5" x14ac:dyDescent="0.2">
      <c r="A3" s="6">
        <v>2</v>
      </c>
      <c r="B3" s="1" t="s">
        <v>81</v>
      </c>
      <c r="C3" s="8">
        <v>1</v>
      </c>
      <c r="D3" s="8">
        <v>2</v>
      </c>
      <c r="E3" s="8">
        <v>1</v>
      </c>
    </row>
    <row r="4" spans="1:5" x14ac:dyDescent="0.2">
      <c r="A4" s="6">
        <v>3</v>
      </c>
      <c r="B4" s="1" t="s">
        <v>82</v>
      </c>
      <c r="C4" s="8">
        <v>5</v>
      </c>
      <c r="D4" s="8">
        <v>4</v>
      </c>
      <c r="E4" s="8">
        <v>5</v>
      </c>
    </row>
    <row r="5" spans="1:5" x14ac:dyDescent="0.2">
      <c r="A5" s="6">
        <v>4</v>
      </c>
      <c r="B5" s="1" t="s">
        <v>83</v>
      </c>
      <c r="C5" s="8">
        <v>1</v>
      </c>
      <c r="D5" s="8">
        <v>1</v>
      </c>
      <c r="E5" s="8">
        <v>1</v>
      </c>
    </row>
    <row r="6" spans="1:5" x14ac:dyDescent="0.2">
      <c r="A6" s="6">
        <v>5</v>
      </c>
      <c r="B6" s="1" t="s">
        <v>84</v>
      </c>
      <c r="C6" s="8">
        <v>5</v>
      </c>
      <c r="D6" s="8">
        <v>4</v>
      </c>
      <c r="E6" s="8">
        <v>4</v>
      </c>
    </row>
    <row r="7" spans="1:5" x14ac:dyDescent="0.2">
      <c r="A7" s="6">
        <v>6</v>
      </c>
      <c r="B7" s="1" t="s">
        <v>85</v>
      </c>
      <c r="C7" s="8">
        <v>1</v>
      </c>
      <c r="D7" s="8">
        <v>1</v>
      </c>
      <c r="E7" s="8">
        <v>1</v>
      </c>
    </row>
    <row r="8" spans="1:5" ht="30" x14ac:dyDescent="0.2">
      <c r="A8" s="6">
        <v>7</v>
      </c>
      <c r="B8" s="1" t="s">
        <v>86</v>
      </c>
      <c r="C8" s="8">
        <v>5</v>
      </c>
      <c r="D8" s="8">
        <v>5</v>
      </c>
      <c r="E8" s="8">
        <v>5</v>
      </c>
    </row>
    <row r="9" spans="1:5" x14ac:dyDescent="0.2">
      <c r="A9" s="6">
        <v>8</v>
      </c>
      <c r="B9" s="1" t="s">
        <v>87</v>
      </c>
      <c r="C9" s="8">
        <v>1</v>
      </c>
      <c r="D9" s="8">
        <v>1</v>
      </c>
      <c r="E9" s="8">
        <v>1</v>
      </c>
    </row>
    <row r="10" spans="1:5" x14ac:dyDescent="0.2">
      <c r="A10" s="6">
        <v>9</v>
      </c>
      <c r="B10" s="1" t="s">
        <v>88</v>
      </c>
      <c r="C10" s="8">
        <v>5</v>
      </c>
      <c r="D10" s="8">
        <v>5</v>
      </c>
      <c r="E10" s="8">
        <v>5</v>
      </c>
    </row>
    <row r="11" spans="1:5" x14ac:dyDescent="0.2">
      <c r="A11" s="6">
        <v>10</v>
      </c>
      <c r="B11" s="1" t="s">
        <v>89</v>
      </c>
      <c r="C11" s="8">
        <v>1</v>
      </c>
      <c r="D11" s="8">
        <v>1</v>
      </c>
      <c r="E11" s="8">
        <v>1</v>
      </c>
    </row>
    <row r="12" spans="1:5" ht="30" x14ac:dyDescent="0.2">
      <c r="B12" s="6" t="s">
        <v>90</v>
      </c>
      <c r="C12" s="9">
        <f>IF(COUNT(C2:C11)&lt;10,"",((C2-1)+(5-C3)+(C4-1)+(5-C5)+(C6-1)+(5-C7)+(C8-1)+(5-C9)+(C10-1)+(5-C11))*2.5)</f>
        <v>100</v>
      </c>
      <c r="D12" s="9">
        <f>IF(COUNT(D2:D11)&lt;10,"",((D2-1)+(5-D3)+(D4-1)+(5-D5)+(D6-1)+(5-D7)+(D8-1)+(5-D9)+(D10-1)+(5-D11))*2.5)</f>
        <v>92.5</v>
      </c>
      <c r="E12" s="9">
        <f>IF(COUNT(E2:E11)&lt;10,"",((E2-1)+(5-E3)+(E4-1)+(5-E5)+(E6-1)+(5-E7)+(E8-1)+(5-E9)+(E10-1)+(5-E11))*2.5)</f>
        <v>95</v>
      </c>
    </row>
    <row r="13" spans="1:5" x14ac:dyDescent="0.2">
      <c r="B13" s="6" t="s">
        <v>91</v>
      </c>
      <c r="C13" s="9">
        <f>IF(COUNT(C12:E12)=0,"",AVERAGE(C12:E12))</f>
        <v>95.833333333333329</v>
      </c>
    </row>
  </sheetData>
  <dataValidations count="1">
    <dataValidation type="whole" allowBlank="1" showErrorMessage="1" error="Use notas de 1 a 5" sqref="C2:E11" xr:uid="{00000000-0002-0000-0300-000000000000}">
      <formula1>1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7" customWidth="1"/>
    <col min="2" max="2" width="40" customWidth="1"/>
    <col min="3" max="4" width="16" customWidth="1"/>
    <col min="5" max="6" width="12" customWidth="1"/>
    <col min="7" max="7" width="38" customWidth="1"/>
    <col min="8" max="8" width="20" customWidth="1"/>
    <col min="9" max="9" width="32" customWidth="1"/>
  </cols>
  <sheetData>
    <row r="1" spans="1:9" ht="45" x14ac:dyDescent="0.2">
      <c r="A1" s="5" t="s">
        <v>12</v>
      </c>
      <c r="B1" s="5" t="s">
        <v>92</v>
      </c>
      <c r="C1" s="5" t="s">
        <v>93</v>
      </c>
      <c r="D1" s="5" t="s">
        <v>94</v>
      </c>
      <c r="E1" s="5" t="s">
        <v>95</v>
      </c>
      <c r="F1" s="5" t="s">
        <v>96</v>
      </c>
      <c r="G1" s="5" t="s">
        <v>97</v>
      </c>
      <c r="H1" s="5" t="s">
        <v>98</v>
      </c>
      <c r="I1" s="5" t="s">
        <v>99</v>
      </c>
    </row>
    <row r="2" spans="1:9" ht="30" x14ac:dyDescent="0.2">
      <c r="A2" s="6" t="s">
        <v>100</v>
      </c>
      <c r="B2" s="14" t="s">
        <v>161</v>
      </c>
      <c r="C2" s="14" t="s">
        <v>162</v>
      </c>
      <c r="D2" s="14" t="s">
        <v>21</v>
      </c>
      <c r="E2" s="8">
        <v>1</v>
      </c>
      <c r="F2" s="8">
        <v>3</v>
      </c>
      <c r="G2" s="14" t="s">
        <v>163</v>
      </c>
      <c r="H2" s="8" t="s">
        <v>164</v>
      </c>
      <c r="I2" s="14" t="s">
        <v>165</v>
      </c>
    </row>
    <row r="3" spans="1:9" x14ac:dyDescent="0.2">
      <c r="A3" s="6" t="s">
        <v>101</v>
      </c>
      <c r="B3" s="8"/>
      <c r="C3" s="8"/>
      <c r="D3" s="8"/>
      <c r="E3" s="8"/>
      <c r="F3" s="8"/>
      <c r="G3" s="8"/>
      <c r="H3" s="8"/>
      <c r="I3" s="8"/>
    </row>
    <row r="4" spans="1:9" x14ac:dyDescent="0.2">
      <c r="A4" s="6" t="s">
        <v>102</v>
      </c>
      <c r="B4" s="8"/>
      <c r="C4" s="8"/>
      <c r="D4" s="8"/>
      <c r="E4" s="8"/>
      <c r="F4" s="8"/>
      <c r="G4" s="8"/>
      <c r="H4" s="8"/>
      <c r="I4" s="8"/>
    </row>
    <row r="5" spans="1:9" x14ac:dyDescent="0.2">
      <c r="A5" s="6" t="s">
        <v>103</v>
      </c>
      <c r="B5" s="8"/>
      <c r="C5" s="8"/>
      <c r="D5" s="8"/>
      <c r="E5" s="8"/>
      <c r="F5" s="8"/>
      <c r="G5" s="8"/>
      <c r="H5" s="8"/>
      <c r="I5" s="8"/>
    </row>
    <row r="6" spans="1:9" x14ac:dyDescent="0.2">
      <c r="A6" s="6" t="s">
        <v>104</v>
      </c>
      <c r="B6" s="8"/>
      <c r="C6" s="8"/>
      <c r="D6" s="8"/>
      <c r="E6" s="8"/>
      <c r="F6" s="8"/>
      <c r="G6" s="8"/>
      <c r="H6" s="8"/>
      <c r="I6" s="8"/>
    </row>
    <row r="7" spans="1:9" x14ac:dyDescent="0.2">
      <c r="A7" s="6" t="s">
        <v>105</v>
      </c>
      <c r="B7" s="8"/>
      <c r="C7" s="8"/>
      <c r="D7" s="8"/>
      <c r="E7" s="8"/>
      <c r="F7" s="8"/>
      <c r="G7" s="8"/>
      <c r="H7" s="8"/>
      <c r="I7" s="8"/>
    </row>
    <row r="8" spans="1:9" x14ac:dyDescent="0.2">
      <c r="A8" s="6" t="s">
        <v>106</v>
      </c>
      <c r="B8" s="8"/>
      <c r="C8" s="8"/>
      <c r="D8" s="8"/>
      <c r="E8" s="8"/>
      <c r="F8" s="8"/>
      <c r="G8" s="8"/>
      <c r="H8" s="8"/>
      <c r="I8" s="8"/>
    </row>
    <row r="9" spans="1:9" x14ac:dyDescent="0.2">
      <c r="A9" s="6" t="s">
        <v>107</v>
      </c>
      <c r="B9" s="8"/>
      <c r="C9" s="8"/>
      <c r="D9" s="8"/>
      <c r="E9" s="8"/>
      <c r="F9" s="8"/>
      <c r="G9" s="8"/>
      <c r="H9" s="8"/>
      <c r="I9" s="8"/>
    </row>
    <row r="10" spans="1:9" x14ac:dyDescent="0.2">
      <c r="A10" s="6" t="s">
        <v>108</v>
      </c>
      <c r="B10" s="8"/>
      <c r="C10" s="8"/>
      <c r="D10" s="8"/>
      <c r="E10" s="8"/>
      <c r="F10" s="8"/>
      <c r="G10" s="8"/>
      <c r="H10" s="8"/>
      <c r="I10" s="8"/>
    </row>
    <row r="11" spans="1:9" x14ac:dyDescent="0.2">
      <c r="A11" s="6" t="s">
        <v>109</v>
      </c>
      <c r="B11" s="8"/>
      <c r="C11" s="8"/>
      <c r="D11" s="8"/>
      <c r="E11" s="8"/>
      <c r="F11" s="8"/>
      <c r="G11" s="8"/>
      <c r="H11" s="8"/>
      <c r="I11" s="8"/>
    </row>
    <row r="12" spans="1:9" x14ac:dyDescent="0.2">
      <c r="A12" s="6" t="s">
        <v>110</v>
      </c>
      <c r="B12" s="8"/>
      <c r="C12" s="8"/>
      <c r="D12" s="8"/>
      <c r="E12" s="8"/>
      <c r="F12" s="8"/>
      <c r="G12" s="8"/>
      <c r="H12" s="8"/>
      <c r="I12" s="8"/>
    </row>
    <row r="13" spans="1:9" x14ac:dyDescent="0.2">
      <c r="A13" s="6" t="s">
        <v>111</v>
      </c>
      <c r="B13" s="8"/>
      <c r="C13" s="8"/>
      <c r="D13" s="8"/>
      <c r="E13" s="8"/>
      <c r="F13" s="8"/>
      <c r="G13" s="8"/>
      <c r="H13" s="8"/>
      <c r="I13" s="8"/>
    </row>
    <row r="14" spans="1:9" x14ac:dyDescent="0.2">
      <c r="A14" s="6" t="s">
        <v>112</v>
      </c>
      <c r="B14" s="8"/>
      <c r="C14" s="8"/>
      <c r="D14" s="8"/>
      <c r="E14" s="8"/>
      <c r="F14" s="8"/>
      <c r="G14" s="8"/>
      <c r="H14" s="8"/>
      <c r="I14" s="8"/>
    </row>
    <row r="15" spans="1:9" x14ac:dyDescent="0.2">
      <c r="A15" s="6" t="s">
        <v>113</v>
      </c>
      <c r="B15" s="8"/>
      <c r="C15" s="8"/>
      <c r="D15" s="8"/>
      <c r="E15" s="8"/>
      <c r="F15" s="8"/>
      <c r="G15" s="8"/>
      <c r="H15" s="8"/>
      <c r="I15" s="8"/>
    </row>
    <row r="16" spans="1:9" x14ac:dyDescent="0.2">
      <c r="A16" s="6" t="s">
        <v>114</v>
      </c>
      <c r="B16" s="8"/>
      <c r="C16" s="8"/>
      <c r="D16" s="8"/>
      <c r="E16" s="8"/>
      <c r="F16" s="8"/>
      <c r="G16" s="8"/>
      <c r="H16" s="8"/>
      <c r="I16" s="8"/>
    </row>
    <row r="17" spans="1:9" x14ac:dyDescent="0.2">
      <c r="A17" s="6" t="s">
        <v>115</v>
      </c>
      <c r="B17" s="8"/>
      <c r="C17" s="8"/>
      <c r="D17" s="8"/>
      <c r="E17" s="8"/>
      <c r="F17" s="8"/>
      <c r="G17" s="8"/>
      <c r="H17" s="8"/>
      <c r="I17" s="8"/>
    </row>
    <row r="18" spans="1:9" x14ac:dyDescent="0.2">
      <c r="A18" s="6" t="s">
        <v>116</v>
      </c>
      <c r="B18" s="8"/>
      <c r="C18" s="8"/>
      <c r="D18" s="8"/>
      <c r="E18" s="8"/>
      <c r="F18" s="8"/>
      <c r="G18" s="8"/>
      <c r="H18" s="8"/>
      <c r="I18" s="8"/>
    </row>
    <row r="19" spans="1:9" x14ac:dyDescent="0.2">
      <c r="A19" s="6" t="s">
        <v>117</v>
      </c>
      <c r="B19" s="8"/>
      <c r="C19" s="8"/>
      <c r="D19" s="8"/>
      <c r="E19" s="8"/>
      <c r="F19" s="8"/>
      <c r="G19" s="8"/>
      <c r="H19" s="8"/>
      <c r="I19" s="8"/>
    </row>
    <row r="20" spans="1:9" x14ac:dyDescent="0.2">
      <c r="A20" s="6" t="s">
        <v>118</v>
      </c>
      <c r="B20" s="8"/>
      <c r="C20" s="8"/>
      <c r="D20" s="8"/>
      <c r="E20" s="8"/>
      <c r="F20" s="8"/>
      <c r="G20" s="8"/>
      <c r="H20" s="8"/>
      <c r="I20" s="8"/>
    </row>
    <row r="21" spans="1:9" x14ac:dyDescent="0.2">
      <c r="A21" s="6" t="s">
        <v>119</v>
      </c>
      <c r="B21" s="8"/>
      <c r="C21" s="8"/>
      <c r="D21" s="8"/>
      <c r="E21" s="8"/>
      <c r="F21" s="8"/>
      <c r="G21" s="8"/>
      <c r="H21" s="8"/>
      <c r="I21" s="8"/>
    </row>
    <row r="23" spans="1:9" ht="60" x14ac:dyDescent="0.2">
      <c r="B23" s="1" t="s">
        <v>120</v>
      </c>
    </row>
  </sheetData>
  <conditionalFormatting sqref="F2:F21">
    <cfRule type="cellIs" dxfId="2" priority="2" operator="greaterThanOrEqual">
      <formula>3</formula>
    </cfRule>
  </conditionalFormatting>
  <dataValidations count="3">
    <dataValidation type="whole" allowBlank="1" sqref="F2:F21" xr:uid="{00000000-0002-0000-0400-000000000000}">
      <formula1>0</formula1>
      <formula2>4</formula2>
    </dataValidation>
    <dataValidation type="whole" allowBlank="1" sqref="E2:E21" xr:uid="{00000000-0002-0000-0400-000001000000}">
      <formula1>1</formula1>
      <formula2>3</formula2>
    </dataValidation>
    <dataValidation type="list" allowBlank="1" sqref="H2:H21" xr:uid="{00000000-0002-0000-0400-000002000000}">
      <formula1>"Corrigir antes da entrega,Evolução,Descartar"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showGridLines="0" zoomScaleNormal="100" workbookViewId="0"/>
  </sheetViews>
  <sheetFormatPr baseColWidth="10" defaultColWidth="8.6640625" defaultRowHeight="15" x14ac:dyDescent="0.2"/>
  <cols>
    <col min="1" max="1" width="44" customWidth="1"/>
    <col min="2" max="4" width="14" customWidth="1"/>
    <col min="5" max="5" width="44" customWidth="1"/>
  </cols>
  <sheetData>
    <row r="1" spans="1:5" ht="18" x14ac:dyDescent="0.2">
      <c r="A1" s="10" t="s">
        <v>121</v>
      </c>
    </row>
    <row r="3" spans="1:5" ht="31.5" customHeight="1" x14ac:dyDescent="0.2">
      <c r="A3" s="5" t="s">
        <v>122</v>
      </c>
      <c r="B3" s="5" t="s">
        <v>123</v>
      </c>
      <c r="C3" s="5" t="s">
        <v>124</v>
      </c>
      <c r="D3" s="5" t="s">
        <v>125</v>
      </c>
      <c r="E3" s="5" t="s">
        <v>126</v>
      </c>
    </row>
    <row r="4" spans="1:5" x14ac:dyDescent="0.2">
      <c r="A4" s="6" t="s">
        <v>127</v>
      </c>
      <c r="B4" s="11">
        <f>COUNTA(Tarefas!$F$2:$F$13)</f>
        <v>12</v>
      </c>
      <c r="C4" s="1"/>
      <c r="D4" s="1" t="s">
        <v>128</v>
      </c>
      <c r="E4" s="1" t="s">
        <v>129</v>
      </c>
    </row>
    <row r="5" spans="1:5" x14ac:dyDescent="0.2">
      <c r="A5" s="6" t="s">
        <v>130</v>
      </c>
      <c r="B5" s="12">
        <f>IF(COUNTA(Tarefas!$F$2:$F$13)=0,"",COUNTIF(Tarefas!$F$2:$F$13,"S")/COUNTA(Tarefas!$F$2:$F$13))</f>
        <v>0.66666666666666663</v>
      </c>
      <c r="C5" s="12">
        <v>0.8</v>
      </c>
      <c r="D5" s="1" t="str">
        <f>IF(B5="","Aguardando",IF(B5&gt;=C5,"Atende","Não atende"))</f>
        <v>Não atende</v>
      </c>
      <c r="E5" s="1" t="s">
        <v>131</v>
      </c>
    </row>
    <row r="6" spans="1:5" x14ac:dyDescent="0.2">
      <c r="A6" s="6" t="s">
        <v>132</v>
      </c>
      <c r="B6" s="12">
        <f>IF(COUNTA(Tarefas!$F$2:$F$13)=0,"",(COUNTIF(Tarefas!$F$2:$F$13,"S")+COUNTIF(Tarefas!$F$2:$F$13,"P"))/COUNTA(Tarefas!$F$2:$F$13))</f>
        <v>0.91666666666666663</v>
      </c>
      <c r="C6" s="1"/>
      <c r="D6" s="1" t="s">
        <v>128</v>
      </c>
      <c r="E6" s="1" t="s">
        <v>133</v>
      </c>
    </row>
    <row r="7" spans="1:5" x14ac:dyDescent="0.2">
      <c r="A7" s="6" t="s">
        <v>134</v>
      </c>
      <c r="B7" s="13">
        <f>IF(COUNT(Tarefas!$H$2:$H$13)=0,"",AVERAGE(Tarefas!$H$2:$H$13))</f>
        <v>5</v>
      </c>
      <c r="C7" s="13">
        <v>5.5</v>
      </c>
      <c r="D7" s="1" t="str">
        <f>IF(B7="","Aguardando",IF(B7&gt;=C7,"Atende","Não atende"))</f>
        <v>Não atende</v>
      </c>
      <c r="E7" s="1" t="s">
        <v>135</v>
      </c>
    </row>
    <row r="8" spans="1:5" x14ac:dyDescent="0.2">
      <c r="A8" s="6" t="s">
        <v>136</v>
      </c>
      <c r="B8" s="11">
        <f>IF(COUNT(Tarefas!$G$2:$G$13)=0,"",AVERAGE(Tarefas!$G$2:$G$13))</f>
        <v>56.272727272727273</v>
      </c>
      <c r="C8" s="1"/>
      <c r="D8" s="1" t="s">
        <v>128</v>
      </c>
      <c r="E8" s="1" t="s">
        <v>137</v>
      </c>
    </row>
    <row r="9" spans="1:5" x14ac:dyDescent="0.2">
      <c r="A9" s="6" t="s">
        <v>138</v>
      </c>
      <c r="B9" s="13">
        <f>SUS!$C$13</f>
        <v>95.833333333333329</v>
      </c>
      <c r="C9" s="13">
        <v>68</v>
      </c>
      <c r="D9" s="1" t="str">
        <f>IF(B9="","Aguardando",IF(B9&gt;=C9,"Atende","Não atende"))</f>
        <v>Atende</v>
      </c>
      <c r="E9" s="1" t="s">
        <v>139</v>
      </c>
    </row>
    <row r="10" spans="1:5" x14ac:dyDescent="0.2">
      <c r="A10" s="6" t="s">
        <v>140</v>
      </c>
      <c r="B10" s="11">
        <f>COUNTIF(Achados!$F$2:$F$21,"&gt;=3")</f>
        <v>1</v>
      </c>
      <c r="C10" s="1"/>
      <c r="D10" s="1" t="s">
        <v>128</v>
      </c>
      <c r="E10" s="1" t="s">
        <v>141</v>
      </c>
    </row>
    <row r="11" spans="1:5" x14ac:dyDescent="0.2">
      <c r="A11" s="6" t="s">
        <v>142</v>
      </c>
      <c r="B11" s="11">
        <f>COUNTIFS(Achados!$F$2:$F$21,"&gt;=3",Achados!$H$2:$H$21,"")</f>
        <v>0</v>
      </c>
      <c r="C11" s="11">
        <v>0</v>
      </c>
      <c r="D11" s="1" t="str">
        <f>IF(COUNTA(Achados!$B$2:$B$21)=0,"Aguardando",IF(B11=0,"Atende","Não atende"))</f>
        <v>Atende</v>
      </c>
      <c r="E11" s="1" t="s">
        <v>143</v>
      </c>
    </row>
    <row r="13" spans="1:5" ht="31.5" customHeight="1" x14ac:dyDescent="0.2">
      <c r="A13" s="5" t="s">
        <v>144</v>
      </c>
      <c r="B13" s="5" t="s">
        <v>145</v>
      </c>
      <c r="C13" s="5" t="s">
        <v>146</v>
      </c>
      <c r="D13" s="5" t="s">
        <v>147</v>
      </c>
      <c r="E13" s="5"/>
    </row>
    <row r="14" spans="1:5" x14ac:dyDescent="0.2">
      <c r="A14" s="6" t="s">
        <v>21</v>
      </c>
      <c r="B14" s="12">
        <f>IF(COUNTIFS(Tarefas!$B$2:$B$13,"P1",Tarefas!$F$2:$F$13,"&lt;&gt;")=0,"",COUNTIFS(Tarefas!$B$2:$B$13,"P1",Tarefas!$F$2:$F$13,"S")/COUNTIFS(Tarefas!$B$2:$B$13,"P1",Tarefas!$F$2:$F$13,"&lt;&gt;"))</f>
        <v>0.75</v>
      </c>
      <c r="C14" s="13">
        <f>IF(COUNTIFS(Tarefas!$B$2:$B$13,"P1",Tarefas!$H$2:$H$13,"&lt;&gt;")=0,"",AVERAGEIFS(Tarefas!$H$2:$H$13,Tarefas!$B$2:$B$13,"P1"))</f>
        <v>5.5</v>
      </c>
      <c r="D14" s="13">
        <f>SUS!C12</f>
        <v>100</v>
      </c>
      <c r="E14" s="1"/>
    </row>
    <row r="15" spans="1:5" x14ac:dyDescent="0.2">
      <c r="A15" s="6" t="s">
        <v>23</v>
      </c>
      <c r="B15" s="12">
        <f>IF(COUNTIFS(Tarefas!$B$2:$B$13,"P2",Tarefas!$F$2:$F$13,"&lt;&gt;")=0,"",COUNTIFS(Tarefas!$B$2:$B$13,"P2",Tarefas!$F$2:$F$13,"S")/COUNTIFS(Tarefas!$B$2:$B$13,"P2",Tarefas!$F$2:$F$13,"&lt;&gt;"))</f>
        <v>0.5</v>
      </c>
      <c r="C15" s="13">
        <f>IF(COUNTIFS(Tarefas!$B$2:$B$13,"P2",Tarefas!$H$2:$H$13,"&lt;&gt;")=0,"",AVERAGEIFS(Tarefas!$H$2:$H$13,Tarefas!$B$2:$B$13,"P2"))</f>
        <v>5.5</v>
      </c>
      <c r="D15" s="13">
        <f>SUS!D12</f>
        <v>92.5</v>
      </c>
      <c r="E15" s="1"/>
    </row>
    <row r="16" spans="1:5" x14ac:dyDescent="0.2">
      <c r="A16" s="6" t="s">
        <v>25</v>
      </c>
      <c r="B16" s="12">
        <f>IF(COUNTIFS(Tarefas!$B$2:$B$13,"P3",Tarefas!$F$2:$F$13,"&lt;&gt;")=0,"",COUNTIFS(Tarefas!$B$2:$B$13,"P3",Tarefas!$F$2:$F$13,"S")/COUNTIFS(Tarefas!$B$2:$B$13,"P3",Tarefas!$F$2:$F$13,"&lt;&gt;"))</f>
        <v>0.75</v>
      </c>
      <c r="C16" s="13">
        <f>IF(COUNTIFS(Tarefas!$B$2:$B$13,"P3",Tarefas!$H$2:$H$13,"&lt;&gt;")=0,"",AVERAGEIFS(Tarefas!$H$2:$H$13,Tarefas!$B$2:$B$13,"P3"))</f>
        <v>4</v>
      </c>
      <c r="D16" s="13">
        <f>SUS!E12</f>
        <v>95</v>
      </c>
      <c r="E16" s="1"/>
    </row>
    <row r="18" spans="1:5" ht="15" customHeight="1" x14ac:dyDescent="0.2">
      <c r="A18" s="15" t="s">
        <v>148</v>
      </c>
      <c r="B18" s="15"/>
      <c r="C18" s="15"/>
      <c r="D18" s="15"/>
      <c r="E18" s="15"/>
    </row>
  </sheetData>
  <mergeCells count="1">
    <mergeCell ref="A18:E18"/>
  </mergeCells>
  <conditionalFormatting sqref="D4:D11">
    <cfRule type="cellIs" dxfId="1" priority="2" operator="equal">
      <formula>"Atende"</formula>
    </cfRule>
    <cfRule type="cellIs" dxfId="0" priority="3" operator="equal">
      <formula>"Não atende"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Instruções</vt:lpstr>
      <vt:lpstr>Participantes</vt:lpstr>
      <vt:lpstr>Tarefas</vt:lpstr>
      <vt:lpstr>SUS</vt:lpstr>
      <vt:lpstr>Achados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Nelson Souza Neto</cp:lastModifiedBy>
  <cp:revision>0</cp:revision>
  <dcterms:created xsi:type="dcterms:W3CDTF">2026-09-28T19:21:24Z</dcterms:created>
  <dcterms:modified xsi:type="dcterms:W3CDTF">2026-10-06T00:26:44Z</dcterms:modified>
  <dc:language>en-US</dc:language>
</cp:coreProperties>
</file>